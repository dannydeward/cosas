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Diccionario_Variables" sheetId="2" state="visible" r:id="rId4"/>
    <sheet name="Referencia_Mundial" sheetId="3" state="visible" r:id="rId5"/>
    <sheet name="Notas_Metodologicas" sheetId="4" state="visible" r:id="rId6"/>
  </sheets>
  <definedNames>
    <definedName function="false" hidden="true" localSheetId="0" name="_xlnm._FilterDatabase" vbProcedure="false">Datos!$A$1:$O$169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<sst xmlns="http://schemas.openxmlformats.org/spreadsheetml/2006/main" count="968" uniqueCount="107">
  <si>
    <t xml:space="preserve">pais</t>
  </si>
  <si>
    <t xml:space="preserve">region</t>
  </si>
  <si>
    <t xml:space="preserve">anio</t>
  </si>
  <si>
    <t xml:space="preserve">zee_km2</t>
  </si>
  <si>
    <t xml:space="preserve">linea_costa_km</t>
  </si>
  <si>
    <t xml:space="preserve">produccion_captura_ton</t>
  </si>
  <si>
    <t xml:space="preserve">produccion_acuicultura_ton</t>
  </si>
  <si>
    <t xml:space="preserve">produccion_total_ton</t>
  </si>
  <si>
    <t xml:space="preserve">ratio_produccion_zee_ton_km2</t>
  </si>
  <si>
    <t xml:space="preserve">participacion_mundial_pct</t>
  </si>
  <si>
    <t xml:space="preserve">especie_principal</t>
  </si>
  <si>
    <t xml:space="preserve">grupo_isscaap</t>
  </si>
  <si>
    <t xml:space="preserve">tipo_produccion_predominante</t>
  </si>
  <si>
    <t xml:space="preserve">tasa_crecimiento_anual_pct</t>
  </si>
  <si>
    <t xml:space="preserve">fuente_dato</t>
  </si>
  <si>
    <t xml:space="preserve">Argentina</t>
  </si>
  <si>
    <t xml:space="preserve">Sudamérica</t>
  </si>
  <si>
    <t xml:space="preserve">Argentine shortfin squid</t>
  </si>
  <si>
    <t xml:space="preserve">Squids, cuttlefishes, octopuses</t>
  </si>
  <si>
    <t xml:space="preserve">FAO FishStatJ - Global Production 2025 (dato real, valores oficiales/estimados FAO)</t>
  </si>
  <si>
    <t xml:space="preserve">Argentine hake</t>
  </si>
  <si>
    <t xml:space="preserve">Cods, hakes, haddocks</t>
  </si>
  <si>
    <t xml:space="preserve">Chile</t>
  </si>
  <si>
    <t xml:space="preserve">Anchoveta(=Peruvian anchovy)</t>
  </si>
  <si>
    <t xml:space="preserve">Herrings, sardines, anchovies</t>
  </si>
  <si>
    <t xml:space="preserve">Chilean jack mackerel</t>
  </si>
  <si>
    <t xml:space="preserve">Miscellaneous pelagic fishes</t>
  </si>
  <si>
    <t xml:space="preserve">Atlantic salmon</t>
  </si>
  <si>
    <t xml:space="preserve">Salmons, trouts, smelts</t>
  </si>
  <si>
    <t xml:space="preserve">China</t>
  </si>
  <si>
    <t xml:space="preserve">Asia</t>
  </si>
  <si>
    <t xml:space="preserve">Japanese kelp</t>
  </si>
  <si>
    <t xml:space="preserve">Brown seaweeds</t>
  </si>
  <si>
    <t xml:space="preserve">Islandia</t>
  </si>
  <si>
    <t xml:space="preserve">Europa</t>
  </si>
  <si>
    <t xml:space="preserve">Capelin</t>
  </si>
  <si>
    <t xml:space="preserve">Blue whiting(=Poutassou)</t>
  </si>
  <si>
    <t xml:space="preserve">Atlantic herring</t>
  </si>
  <si>
    <t xml:space="preserve">Atlantic cod</t>
  </si>
  <si>
    <t xml:space="preserve">Noruega</t>
  </si>
  <si>
    <t xml:space="preserve">Perú</t>
  </si>
  <si>
    <t xml:space="preserve">Vietnam</t>
  </si>
  <si>
    <t xml:space="preserve">Marine fishes NEI</t>
  </si>
  <si>
    <t xml:space="preserve">Marine fishes not identified</t>
  </si>
  <si>
    <t xml:space="preserve">Variable</t>
  </si>
  <si>
    <t xml:space="preserve">Tipo</t>
  </si>
  <si>
    <t xml:space="preserve">Origen del dato</t>
  </si>
  <si>
    <t xml:space="preserve">Para qué sirve</t>
  </si>
  <si>
    <t xml:space="preserve">Categórica</t>
  </si>
  <si>
    <t xml:space="preserve">FAO CL_FI_COUNTRY_GROUPS (real)</t>
  </si>
  <si>
    <t xml:space="preserve">Identificar y comparar entre países</t>
  </si>
  <si>
    <t xml:space="preserve">Agrupar comparaciones regionales</t>
  </si>
  <si>
    <t xml:space="preserve">Fecha (numérica)</t>
  </si>
  <si>
    <t xml:space="preserve">FAO Global_production_quantity (real)</t>
  </si>
  <si>
    <t xml:space="preserve">Series de tiempo, 2000-2023</t>
  </si>
  <si>
    <t xml:space="preserve">Numérica</t>
  </si>
  <si>
    <t xml:space="preserve">Marine Regions / World Bank (externo, no FAO)</t>
  </si>
  <si>
    <t xml:space="preserve">Superficie marítima disponible (ZEE)</t>
  </si>
  <si>
    <t xml:space="preserve">CIA World Factbook (externo, no FAO)</t>
  </si>
  <si>
    <t xml:space="preserve">Variable de control geográfico</t>
  </si>
  <si>
    <t xml:space="preserve">FAO, fuente=CAPTURE (real)</t>
  </si>
  <si>
    <t xml:space="preserve">Producción anual por pesca extractiva</t>
  </si>
  <si>
    <t xml:space="preserve">FAO, fuente=FRESHWATER+BRACKISHWATER+MARINE (real)</t>
  </si>
  <si>
    <t xml:space="preserve">Producción anual por cultivo</t>
  </si>
  <si>
    <t xml:space="preserve">Numérica (calculada)</t>
  </si>
  <si>
    <t xml:space="preserve">Captura + Acuicultura (fórmula)</t>
  </si>
  <si>
    <t xml:space="preserve">Indicador principal de volumen producido</t>
  </si>
  <si>
    <t xml:space="preserve">Producción real / ZEE externa (fórmula)</t>
  </si>
  <si>
    <t xml:space="preserve">Eficiencia de aprovechamiento del mar</t>
  </si>
  <si>
    <t xml:space="preserve">Producción real país / producción mundial real (fórmula, FAO)</t>
  </si>
  <si>
    <t xml:space="preserve">% sobre la producción mundial total</t>
  </si>
  <si>
    <t xml:space="preserve">FAO CL_FI_SPECIES_GROUPS, especie con mayor volumen real</t>
  </si>
  <si>
    <t xml:space="preserve">Identificar especie dominante por país-año</t>
  </si>
  <si>
    <t xml:space="preserve">FAO CL_FI_SPECIES_GROUPS, clasificación ISSCAAP (real)</t>
  </si>
  <si>
    <t xml:space="preserve">Agrupar especies por categoría estandarizada FAO</t>
  </si>
  <si>
    <t xml:space="preserve">Categórica (calculada)</t>
  </si>
  <si>
    <t xml:space="preserve">IF captura vs acuicultura (fórmula)</t>
  </si>
  <si>
    <t xml:space="preserve">Fuente dominante de producción</t>
  </si>
  <si>
    <t xml:space="preserve">Variación interanual real (fórmula)</t>
  </si>
  <si>
    <t xml:space="preserve">Tendencia para proyecciones (Q5)</t>
  </si>
  <si>
    <t xml:space="preserve">Metadato</t>
  </si>
  <si>
    <t xml:space="preserve">Trazabilidad: FAO real vs. fuente externa</t>
  </si>
  <si>
    <t xml:space="preserve">produccion_mundial_ton</t>
  </si>
  <si>
    <t xml:space="preserve">fuente</t>
  </si>
  <si>
    <t xml:space="preserve">FAO FishStatJ - Global Production 2025 (suma mundial real, todas las fuentes/países/especies)</t>
  </si>
  <si>
    <t xml:space="preserve">NOTAS METODOLÓGICAS</t>
  </si>
  <si>
    <t xml:space="preserve">Fuente principal</t>
  </si>
  <si>
    <t xml:space="preserve">FAO FishStatJ - Global Production Quantity 2025 (datos reales 1950-2023, descarga oficial)</t>
  </si>
  <si>
    <t xml:space="preserve">Países incluidos</t>
  </si>
  <si>
    <t xml:space="preserve">Argentina, Chile, Perú, Noruega, Islandia, Vietnam, China</t>
  </si>
  <si>
    <t xml:space="preserve">Periodo analizado</t>
  </si>
  <si>
    <t xml:space="preserve">2000-2023 (24 años)</t>
  </si>
  <si>
    <t xml:space="preserve">Filtros aplicados</t>
  </si>
  <si>
    <t xml:space="preserve">MEASURE = Q_tlw (toneladas, peso vivo); se excluyeron STATUS L/M/O (valores ausentes/no aplicables)</t>
  </si>
  <si>
    <t xml:space="preserve">Captura vs Acuicultura</t>
  </si>
  <si>
    <t xml:space="preserve">CAPTURE = captura silvestre; FRESHWATER+BRACKISHWATER+MARINE = acuicultura (clasificación oficial FAO)</t>
  </si>
  <si>
    <t xml:space="preserve">Producción mundial</t>
  </si>
  <si>
    <t xml:space="preserve">Suma real de TODO el dataset FAO (todos los países y especies) por año, no es una estimación</t>
  </si>
  <si>
    <t xml:space="preserve">Especie principal</t>
  </si>
  <si>
    <t xml:space="preserve">Especie con mayor volumen (ton) reportado ese país-año, según código FAO ASFIS</t>
  </si>
  <si>
    <t xml:space="preserve">DATOS NO DISPONIBLES EN ESTE DATASET FAO (requieren fuente externa)</t>
  </si>
  <si>
    <t xml:space="preserve">zee_km2 / linea_costa_km</t>
  </si>
  <si>
    <t xml:space="preserve">FAO Production no incluye geografía marítima de cada país. Se usaron valores de Marine Regions / World Bank EEZ database como aproximación de orden de magnitud. Para precisión total, reemplazar por fuente oficial nacional o Sea Around Us.</t>
  </si>
  <si>
    <t xml:space="preserve">valor_exportado_usd / empleo_sector_personas</t>
  </si>
  <si>
    <t xml:space="preserve">No incluidos en esta versión: requieren el dataset FAO de Comercio (Trade) y estadísticas de empleo (ILO/Ministerios), que no fueron provistos en esta carga. Se eliminaron de esta tabla para no mezclar datos reales con estimaciones.</t>
  </si>
  <si>
    <t xml:space="preserve">Próximo paso sugerido</t>
  </si>
  <si>
    <t xml:space="preserve">Incorporar FAO Global Trade dataset para valor_exportado_usd real, y precisar ZEE con fuente geoespacial oficial.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</si>
</sst>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0.00\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sz val="9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3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24"/>
    <col collapsed="false" customWidth="true" hidden="false" outlineLevel="0" max="12" min="12" style="0" width="28"/>
    <col collapsed="false" customWidth="true" hidden="false" outlineLevel="0" max="13" min="13" style="0" width="22"/>
    <col collapsed="false" customWidth="true" hidden="false" outlineLevel="0" max="14" min="14" style="0" width="18"/>
    <col collapsed="false" customWidth="true" hidden="false" outlineLevel="0" max="15" min="15" style="0" width="55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n">
        <v>2000</v>
      </c>
      <c r="D2" s="3" t="n">
        <v>1159063</v>
      </c>
      <c r="E2" s="3" t="n">
        <v>4989</v>
      </c>
      <c r="F2" s="3" t="n">
        <v>921800</v>
      </c>
      <c r="G2" s="3" t="n">
        <v>1784</v>
      </c>
      <c r="H2" s="4" t="n">
        <f aca="false">F2+G2</f>
        <v>923584</v>
      </c>
      <c r="I2" s="5" t="n">
        <f aca="false">H2/D2</f>
        <v>0.796836755206576</v>
      </c>
      <c r="J2" s="6" t="n">
        <f aca="false">H2/VLOOKUP(C2,Referencia_Mundial!$A:$B,2,FALSE())*100</f>
        <v>0.670273845150467</v>
      </c>
      <c r="K2" s="2" t="s">
        <v>17</v>
      </c>
      <c r="L2" s="2" t="s">
        <v>18</v>
      </c>
      <c r="M2" s="7" t="str">
        <f aca="false">IF(F2&gt;=G2,"Captura silvestre","Acuicultura")</f>
        <v>Captura silvestre</v>
      </c>
      <c r="N2" s="6"/>
      <c r="O2" s="8" t="s">
        <v>19</v>
      </c>
    </row>
    <row r="3" customFormat="false" ht="15" hidden="false" customHeight="false" outlineLevel="0" collapsed="false">
      <c r="A3" s="2" t="s">
        <v>15</v>
      </c>
      <c r="B3" s="2" t="s">
        <v>16</v>
      </c>
      <c r="C3" s="2" t="n">
        <v>2001</v>
      </c>
      <c r="D3" s="3" t="n">
        <v>1159063</v>
      </c>
      <c r="E3" s="3" t="n">
        <v>4989</v>
      </c>
      <c r="F3" s="3" t="n">
        <v>931081</v>
      </c>
      <c r="G3" s="3" t="n">
        <v>1340</v>
      </c>
      <c r="H3" s="4" t="n">
        <f aca="false">F3+G3</f>
        <v>932421</v>
      </c>
      <c r="I3" s="5" t="n">
        <f aca="false">H3/D3</f>
        <v>0.804461017218219</v>
      </c>
      <c r="J3" s="6" t="n">
        <f aca="false">H3/VLOOKUP(C3,Referencia_Mundial!$A:$B,2,FALSE())*100</f>
        <v>0.677896708488615</v>
      </c>
      <c r="K3" s="2" t="s">
        <v>20</v>
      </c>
      <c r="L3" s="2" t="s">
        <v>21</v>
      </c>
      <c r="M3" s="7" t="str">
        <f aca="false">IF(F3&gt;=G3,"Captura silvestre","Acuicultura")</f>
        <v>Captura silvestre</v>
      </c>
      <c r="N3" s="6" t="n">
        <f aca="false">(H3-H2)/H2*100</f>
        <v>0.956816055713395</v>
      </c>
      <c r="O3" s="8" t="s">
        <v>19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n">
        <v>2002</v>
      </c>
      <c r="D4" s="3" t="n">
        <v>1159063</v>
      </c>
      <c r="E4" s="3" t="n">
        <v>4989</v>
      </c>
      <c r="F4" s="3" t="n">
        <v>946185</v>
      </c>
      <c r="G4" s="3" t="n">
        <v>1457</v>
      </c>
      <c r="H4" s="4" t="n">
        <f aca="false">F4+G4</f>
        <v>947642</v>
      </c>
      <c r="I4" s="5" t="n">
        <f aca="false">H4/D4</f>
        <v>0.817593176557271</v>
      </c>
      <c r="J4" s="6" t="n">
        <f aca="false">H4/VLOOKUP(C4,Referencia_Mundial!$A:$B,2,FALSE())*100</f>
        <v>0.67199795402921</v>
      </c>
      <c r="K4" s="2" t="s">
        <v>20</v>
      </c>
      <c r="L4" s="2" t="s">
        <v>21</v>
      </c>
      <c r="M4" s="7" t="str">
        <f aca="false">IF(F4&gt;=G4,"Captura silvestre","Acuicultura")</f>
        <v>Captura silvestre</v>
      </c>
      <c r="N4" s="6" t="n">
        <f aca="false">(H4-H3)/H3*100</f>
        <v>1.63241711630261</v>
      </c>
      <c r="O4" s="8" t="s">
        <v>19</v>
      </c>
    </row>
    <row r="5" customFormat="false" ht="15" hidden="false" customHeight="false" outlineLevel="0" collapsed="false">
      <c r="A5" s="2" t="s">
        <v>15</v>
      </c>
      <c r="B5" s="2" t="s">
        <v>16</v>
      </c>
      <c r="C5" s="2" t="n">
        <v>2003</v>
      </c>
      <c r="D5" s="3" t="n">
        <v>1159063</v>
      </c>
      <c r="E5" s="3" t="n">
        <v>4989</v>
      </c>
      <c r="F5" s="3" t="n">
        <v>910200</v>
      </c>
      <c r="G5" s="3" t="n">
        <v>1647</v>
      </c>
      <c r="H5" s="4" t="n">
        <f aca="false">F5+G5</f>
        <v>911847</v>
      </c>
      <c r="I5" s="5" t="n">
        <f aca="false">H5/D5</f>
        <v>0.786710472165879</v>
      </c>
      <c r="J5" s="6" t="n">
        <f aca="false">H5/VLOOKUP(C5,Referencia_Mundial!$A:$B,2,FALSE())*100</f>
        <v>0.646062696062966</v>
      </c>
      <c r="K5" s="2" t="s">
        <v>20</v>
      </c>
      <c r="L5" s="2" t="s">
        <v>21</v>
      </c>
      <c r="M5" s="7" t="str">
        <f aca="false">IF(F5&gt;=G5,"Captura silvestre","Acuicultura")</f>
        <v>Captura silvestre</v>
      </c>
      <c r="N5" s="6" t="n">
        <f aca="false">(H5-H4)/H4*100</f>
        <v>-3.77727031938221</v>
      </c>
      <c r="O5" s="8" t="s">
        <v>19</v>
      </c>
    </row>
    <row r="6" customFormat="false" ht="15" hidden="false" customHeight="false" outlineLevel="0" collapsed="false">
      <c r="A6" s="2" t="s">
        <v>15</v>
      </c>
      <c r="B6" s="2" t="s">
        <v>16</v>
      </c>
      <c r="C6" s="2" t="n">
        <v>2004</v>
      </c>
      <c r="D6" s="3" t="n">
        <v>1159063</v>
      </c>
      <c r="E6" s="3" t="n">
        <v>4989</v>
      </c>
      <c r="F6" s="3" t="n">
        <v>944846</v>
      </c>
      <c r="G6" s="3" t="n">
        <v>1848</v>
      </c>
      <c r="H6" s="4" t="n">
        <f aca="false">F6+G6</f>
        <v>946694</v>
      </c>
      <c r="I6" s="5" t="n">
        <f aca="false">H6/D6</f>
        <v>0.816775274510531</v>
      </c>
      <c r="J6" s="6" t="n">
        <f aca="false">H6/VLOOKUP(C6,Referencia_Mundial!$A:$B,2,FALSE())*100</f>
        <v>0.630953357968459</v>
      </c>
      <c r="K6" s="2" t="s">
        <v>20</v>
      </c>
      <c r="L6" s="2" t="s">
        <v>21</v>
      </c>
      <c r="M6" s="7" t="str">
        <f aca="false">IF(F6&gt;=G6,"Captura silvestre","Acuicultura")</f>
        <v>Captura silvestre</v>
      </c>
      <c r="N6" s="6" t="n">
        <f aca="false">(H6-H5)/H5*100</f>
        <v>3.8215841034735</v>
      </c>
      <c r="O6" s="8" t="s">
        <v>19</v>
      </c>
    </row>
    <row r="7" customFormat="false" ht="15" hidden="false" customHeight="false" outlineLevel="0" collapsed="false">
      <c r="A7" s="2" t="s">
        <v>15</v>
      </c>
      <c r="B7" s="2" t="s">
        <v>16</v>
      </c>
      <c r="C7" s="2" t="n">
        <v>2005</v>
      </c>
      <c r="D7" s="3" t="n">
        <v>1159063</v>
      </c>
      <c r="E7" s="3" t="n">
        <v>4989</v>
      </c>
      <c r="F7" s="3" t="n">
        <v>929937</v>
      </c>
      <c r="G7" s="3" t="n">
        <v>2057</v>
      </c>
      <c r="H7" s="4" t="n">
        <f aca="false">F7+G7</f>
        <v>931994</v>
      </c>
      <c r="I7" s="5" t="n">
        <f aca="false">H7/D7</f>
        <v>0.804092616190837</v>
      </c>
      <c r="J7" s="6" t="n">
        <f aca="false">H7/VLOOKUP(C7,Referencia_Mundial!$A:$B,2,FALSE())*100</f>
        <v>0.609430512026392</v>
      </c>
      <c r="K7" s="2" t="s">
        <v>20</v>
      </c>
      <c r="L7" s="2" t="s">
        <v>21</v>
      </c>
      <c r="M7" s="7" t="str">
        <f aca="false">IF(F7&gt;=G7,"Captura silvestre","Acuicultura")</f>
        <v>Captura silvestre</v>
      </c>
      <c r="N7" s="6" t="n">
        <f aca="false">(H7-H6)/H6*100</f>
        <v>-1.55277206784875</v>
      </c>
      <c r="O7" s="8" t="s">
        <v>19</v>
      </c>
    </row>
    <row r="8" customFormat="false" ht="15" hidden="false" customHeight="false" outlineLevel="0" collapsed="false">
      <c r="A8" s="2" t="s">
        <v>15</v>
      </c>
      <c r="B8" s="2" t="s">
        <v>16</v>
      </c>
      <c r="C8" s="2" t="n">
        <v>2006</v>
      </c>
      <c r="D8" s="3" t="n">
        <v>1159063</v>
      </c>
      <c r="E8" s="3" t="n">
        <v>4989</v>
      </c>
      <c r="F8" s="3" t="n">
        <v>1171980</v>
      </c>
      <c r="G8" s="3" t="n">
        <v>2528</v>
      </c>
      <c r="H8" s="4" t="n">
        <f aca="false">F8+G8</f>
        <v>1174508</v>
      </c>
      <c r="I8" s="5" t="n">
        <f aca="false">H8/D8</f>
        <v>1.0133254188944</v>
      </c>
      <c r="J8" s="6" t="n">
        <f aca="false">H8/VLOOKUP(C8,Referencia_Mundial!$A:$B,2,FALSE())*100</f>
        <v>0.761336025218978</v>
      </c>
      <c r="K8" s="2" t="s">
        <v>20</v>
      </c>
      <c r="L8" s="2" t="s">
        <v>21</v>
      </c>
      <c r="M8" s="7" t="str">
        <f aca="false">IF(F8&gt;=G8,"Captura silvestre","Acuicultura")</f>
        <v>Captura silvestre</v>
      </c>
      <c r="N8" s="6" t="n">
        <f aca="false">(H8-H7)/H7*100</f>
        <v>26.0209829677015</v>
      </c>
      <c r="O8" s="8" t="s">
        <v>19</v>
      </c>
    </row>
    <row r="9" customFormat="false" ht="15" hidden="false" customHeight="false" outlineLevel="0" collapsed="false">
      <c r="A9" s="2" t="s">
        <v>15</v>
      </c>
      <c r="B9" s="2" t="s">
        <v>16</v>
      </c>
      <c r="C9" s="2" t="n">
        <v>2007</v>
      </c>
      <c r="D9" s="3" t="n">
        <v>1159063</v>
      </c>
      <c r="E9" s="3" t="n">
        <v>4989</v>
      </c>
      <c r="F9" s="3" t="n">
        <v>985409</v>
      </c>
      <c r="G9" s="3" t="n">
        <v>2957</v>
      </c>
      <c r="H9" s="4" t="n">
        <f aca="false">F9+G9</f>
        <v>988366</v>
      </c>
      <c r="I9" s="5" t="n">
        <f aca="false">H9/D9</f>
        <v>0.852728453932185</v>
      </c>
      <c r="J9" s="6" t="n">
        <f aca="false">H9/VLOOKUP(C9,Referencia_Mundial!$A:$B,2,FALSE())*100</f>
        <v>0.625570190600614</v>
      </c>
      <c r="K9" s="2" t="s">
        <v>20</v>
      </c>
      <c r="L9" s="2" t="s">
        <v>21</v>
      </c>
      <c r="M9" s="7" t="str">
        <f aca="false">IF(F9&gt;=G9,"Captura silvestre","Acuicultura")</f>
        <v>Captura silvestre</v>
      </c>
      <c r="N9" s="6" t="n">
        <f aca="false">(H9-H8)/H8*100</f>
        <v>-15.8485084818494</v>
      </c>
      <c r="O9" s="8" t="s">
        <v>19</v>
      </c>
    </row>
    <row r="10" customFormat="false" ht="15" hidden="false" customHeight="false" outlineLevel="0" collapsed="false">
      <c r="A10" s="2" t="s">
        <v>15</v>
      </c>
      <c r="B10" s="2" t="s">
        <v>16</v>
      </c>
      <c r="C10" s="2" t="n">
        <v>2008</v>
      </c>
      <c r="D10" s="3" t="n">
        <v>1159063</v>
      </c>
      <c r="E10" s="3" t="n">
        <v>4989</v>
      </c>
      <c r="F10" s="3" t="n">
        <v>995083</v>
      </c>
      <c r="G10" s="3" t="n">
        <v>2700</v>
      </c>
      <c r="H10" s="4" t="n">
        <f aca="false">F10+G10</f>
        <v>997783</v>
      </c>
      <c r="I10" s="5" t="n">
        <f aca="false">H10/D10</f>
        <v>0.860853120149638</v>
      </c>
      <c r="J10" s="6" t="n">
        <f aca="false">H10/VLOOKUP(C10,Referencia_Mundial!$A:$B,2,FALSE())*100</f>
        <v>0.619730899507999</v>
      </c>
      <c r="K10" s="2" t="s">
        <v>20</v>
      </c>
      <c r="L10" s="2" t="s">
        <v>21</v>
      </c>
      <c r="M10" s="7" t="str">
        <f aca="false">IF(F10&gt;=G10,"Captura silvestre","Acuicultura")</f>
        <v>Captura silvestre</v>
      </c>
      <c r="N10" s="6" t="n">
        <f aca="false">(H10-H9)/H9*100</f>
        <v>0.952784697166839</v>
      </c>
      <c r="O10" s="8" t="s">
        <v>19</v>
      </c>
    </row>
    <row r="11" customFormat="false" ht="15" hidden="false" customHeight="false" outlineLevel="0" collapsed="false">
      <c r="A11" s="2" t="s">
        <v>15</v>
      </c>
      <c r="B11" s="2" t="s">
        <v>16</v>
      </c>
      <c r="C11" s="2" t="n">
        <v>2009</v>
      </c>
      <c r="D11" s="3" t="n">
        <v>1159063</v>
      </c>
      <c r="E11" s="3" t="n">
        <v>4989</v>
      </c>
      <c r="F11" s="3" t="n">
        <v>861974</v>
      </c>
      <c r="G11" s="3" t="n">
        <v>2583</v>
      </c>
      <c r="H11" s="4" t="n">
        <f aca="false">F11+G11</f>
        <v>864557</v>
      </c>
      <c r="I11" s="5" t="n">
        <f aca="false">H11/D11</f>
        <v>0.745910274074835</v>
      </c>
      <c r="J11" s="6" t="n">
        <f aca="false">H11/VLOOKUP(C11,Referencia_Mundial!$A:$B,2,FALSE())*100</f>
        <v>0.527069617297144</v>
      </c>
      <c r="K11" s="2" t="s">
        <v>20</v>
      </c>
      <c r="L11" s="2" t="s">
        <v>21</v>
      </c>
      <c r="M11" s="7" t="str">
        <f aca="false">IF(F11&gt;=G11,"Captura silvestre","Acuicultura")</f>
        <v>Captura silvestre</v>
      </c>
      <c r="N11" s="6" t="n">
        <f aca="false">(H11-H10)/H10*100</f>
        <v>-13.3522018314603</v>
      </c>
      <c r="O11" s="8" t="s">
        <v>19</v>
      </c>
    </row>
    <row r="12" customFormat="false" ht="15" hidden="false" customHeight="false" outlineLevel="0" collapsed="false">
      <c r="A12" s="2" t="s">
        <v>15</v>
      </c>
      <c r="B12" s="2" t="s">
        <v>16</v>
      </c>
      <c r="C12" s="2" t="n">
        <v>2010</v>
      </c>
      <c r="D12" s="3" t="n">
        <v>1159063</v>
      </c>
      <c r="E12" s="3" t="n">
        <v>4989</v>
      </c>
      <c r="F12" s="3" t="n">
        <v>811749</v>
      </c>
      <c r="G12" s="3" t="n">
        <v>2654.4</v>
      </c>
      <c r="H12" s="4" t="n">
        <f aca="false">F12+G12</f>
        <v>814403.4</v>
      </c>
      <c r="I12" s="5" t="n">
        <f aca="false">H12/D12</f>
        <v>0.702639459632479</v>
      </c>
      <c r="J12" s="6" t="n">
        <f aca="false">H12/VLOOKUP(C12,Referencia_Mundial!$A:$B,2,FALSE())*100</f>
        <v>0.489708368101009</v>
      </c>
      <c r="K12" s="2" t="s">
        <v>20</v>
      </c>
      <c r="L12" s="2" t="s">
        <v>21</v>
      </c>
      <c r="M12" s="7" t="str">
        <f aca="false">IF(F12&gt;=G12,"Captura silvestre","Acuicultura")</f>
        <v>Captura silvestre</v>
      </c>
      <c r="N12" s="6" t="n">
        <f aca="false">(H12-H11)/H11*100</f>
        <v>-5.80107500141691</v>
      </c>
      <c r="O12" s="8" t="s">
        <v>19</v>
      </c>
    </row>
    <row r="13" customFormat="false" ht="15" hidden="false" customHeight="false" outlineLevel="0" collapsed="false">
      <c r="A13" s="2" t="s">
        <v>15</v>
      </c>
      <c r="B13" s="2" t="s">
        <v>16</v>
      </c>
      <c r="C13" s="2" t="n">
        <v>2011</v>
      </c>
      <c r="D13" s="3" t="n">
        <v>1159063</v>
      </c>
      <c r="E13" s="3" t="n">
        <v>4989</v>
      </c>
      <c r="F13" s="3" t="n">
        <v>793308</v>
      </c>
      <c r="G13" s="3" t="n">
        <v>3193.2</v>
      </c>
      <c r="H13" s="4" t="n">
        <f aca="false">F13+G13</f>
        <v>796501.2</v>
      </c>
      <c r="I13" s="5" t="n">
        <f aca="false">H13/D13</f>
        <v>0.687194052437184</v>
      </c>
      <c r="J13" s="6" t="n">
        <f aca="false">H13/VLOOKUP(C13,Referencia_Mundial!$A:$B,2,FALSE())*100</f>
        <v>0.45678193013215</v>
      </c>
      <c r="K13" s="2" t="s">
        <v>20</v>
      </c>
      <c r="L13" s="2" t="s">
        <v>21</v>
      </c>
      <c r="M13" s="7" t="str">
        <f aca="false">IF(F13&gt;=G13,"Captura silvestre","Acuicultura")</f>
        <v>Captura silvestre</v>
      </c>
      <c r="N13" s="6" t="n">
        <f aca="false">(H13-H12)/H12*100</f>
        <v>-2.19819809200208</v>
      </c>
      <c r="O13" s="8" t="s">
        <v>19</v>
      </c>
    </row>
    <row r="14" customFormat="false" ht="15" hidden="false" customHeight="false" outlineLevel="0" collapsed="false">
      <c r="A14" s="2" t="s">
        <v>15</v>
      </c>
      <c r="B14" s="2" t="s">
        <v>16</v>
      </c>
      <c r="C14" s="2" t="n">
        <v>2012</v>
      </c>
      <c r="D14" s="3" t="n">
        <v>1159063</v>
      </c>
      <c r="E14" s="3" t="n">
        <v>4989</v>
      </c>
      <c r="F14" s="3" t="n">
        <v>738060</v>
      </c>
      <c r="G14" s="3" t="n">
        <v>2958.4</v>
      </c>
      <c r="H14" s="4" t="n">
        <f aca="false">F14+G14</f>
        <v>741018.4</v>
      </c>
      <c r="I14" s="5" t="n">
        <f aca="false">H14/D14</f>
        <v>0.639325386109297</v>
      </c>
      <c r="J14" s="6" t="n">
        <f aca="false">H14/VLOOKUP(C14,Referencia_Mundial!$A:$B,2,FALSE())*100</f>
        <v>0.416136151284128</v>
      </c>
      <c r="K14" s="2" t="s">
        <v>20</v>
      </c>
      <c r="L14" s="2" t="s">
        <v>21</v>
      </c>
      <c r="M14" s="7" t="str">
        <f aca="false">IF(F14&gt;=G14,"Captura silvestre","Acuicultura")</f>
        <v>Captura silvestre</v>
      </c>
      <c r="N14" s="6" t="n">
        <f aca="false">(H14-H13)/H13*100</f>
        <v>-6.96581499186692</v>
      </c>
      <c r="O14" s="8" t="s">
        <v>19</v>
      </c>
    </row>
    <row r="15" customFormat="false" ht="15" hidden="false" customHeight="false" outlineLevel="0" collapsed="false">
      <c r="A15" s="2" t="s">
        <v>15</v>
      </c>
      <c r="B15" s="2" t="s">
        <v>16</v>
      </c>
      <c r="C15" s="2" t="n">
        <v>2013</v>
      </c>
      <c r="D15" s="3" t="n">
        <v>1159063</v>
      </c>
      <c r="E15" s="3" t="n">
        <v>4989</v>
      </c>
      <c r="F15" s="3" t="n">
        <v>870705</v>
      </c>
      <c r="G15" s="3" t="n">
        <v>3825.1</v>
      </c>
      <c r="H15" s="4" t="n">
        <f aca="false">F15+G15</f>
        <v>874530.1</v>
      </c>
      <c r="I15" s="5" t="n">
        <f aca="false">H15/D15</f>
        <v>0.754514724393756</v>
      </c>
      <c r="J15" s="6" t="n">
        <f aca="false">H15/VLOOKUP(C15,Referencia_Mundial!$A:$B,2,FALSE())*100</f>
        <v>0.470152650992</v>
      </c>
      <c r="K15" s="2" t="s">
        <v>20</v>
      </c>
      <c r="L15" s="2" t="s">
        <v>21</v>
      </c>
      <c r="M15" s="7" t="str">
        <f aca="false">IF(F15&gt;=G15,"Captura silvestre","Acuicultura")</f>
        <v>Captura silvestre</v>
      </c>
      <c r="N15" s="6" t="n">
        <f aca="false">(H15-H14)/H14*100</f>
        <v>18.017325885565</v>
      </c>
      <c r="O15" s="8" t="s">
        <v>19</v>
      </c>
    </row>
    <row r="16" customFormat="false" ht="15" hidden="false" customHeight="false" outlineLevel="0" collapsed="false">
      <c r="A16" s="2" t="s">
        <v>15</v>
      </c>
      <c r="B16" s="2" t="s">
        <v>16</v>
      </c>
      <c r="C16" s="2" t="n">
        <v>2014</v>
      </c>
      <c r="D16" s="3" t="n">
        <v>1159063</v>
      </c>
      <c r="E16" s="3" t="n">
        <v>4989</v>
      </c>
      <c r="F16" s="3" t="n">
        <v>829935</v>
      </c>
      <c r="G16" s="3" t="n">
        <v>4002.7</v>
      </c>
      <c r="H16" s="4" t="n">
        <f aca="false">F16+G16</f>
        <v>833937.7</v>
      </c>
      <c r="I16" s="5" t="n">
        <f aca="false">H16/D16</f>
        <v>0.719492987007609</v>
      </c>
      <c r="J16" s="6" t="n">
        <f aca="false">H16/VLOOKUP(C16,Referencia_Mundial!$A:$B,2,FALSE())*100</f>
        <v>0.436254679745632</v>
      </c>
      <c r="K16" s="2" t="s">
        <v>20</v>
      </c>
      <c r="L16" s="2" t="s">
        <v>21</v>
      </c>
      <c r="M16" s="7" t="str">
        <f aca="false">IF(F16&gt;=G16,"Captura silvestre","Acuicultura")</f>
        <v>Captura silvestre</v>
      </c>
      <c r="N16" s="6" t="n">
        <f aca="false">(H16-H15)/H15*100</f>
        <v>-4.64162411333813</v>
      </c>
      <c r="O16" s="8" t="s">
        <v>19</v>
      </c>
    </row>
    <row r="17" customFormat="false" ht="15" hidden="false" customHeight="false" outlineLevel="0" collapsed="false">
      <c r="A17" s="2" t="s">
        <v>15</v>
      </c>
      <c r="B17" s="2" t="s">
        <v>16</v>
      </c>
      <c r="C17" s="2" t="n">
        <v>2015</v>
      </c>
      <c r="D17" s="3" t="n">
        <v>1159063</v>
      </c>
      <c r="E17" s="3" t="n">
        <v>4989</v>
      </c>
      <c r="F17" s="3" t="n">
        <v>814300</v>
      </c>
      <c r="G17" s="3" t="n">
        <v>3662.7</v>
      </c>
      <c r="H17" s="4" t="n">
        <f aca="false">F17+G17</f>
        <v>817962.7</v>
      </c>
      <c r="I17" s="5" t="n">
        <f aca="false">H17/D17</f>
        <v>0.705710302201002</v>
      </c>
      <c r="J17" s="6" t="n">
        <f aca="false">H17/VLOOKUP(C17,Referencia_Mundial!$A:$B,2,FALSE())*100</f>
        <v>0.415699283571618</v>
      </c>
      <c r="K17" s="2" t="s">
        <v>20</v>
      </c>
      <c r="L17" s="2" t="s">
        <v>21</v>
      </c>
      <c r="M17" s="7" t="str">
        <f aca="false">IF(F17&gt;=G17,"Captura silvestre","Acuicultura")</f>
        <v>Captura silvestre</v>
      </c>
      <c r="N17" s="6" t="n">
        <f aca="false">(H17-H16)/H16*100</f>
        <v>-1.91561072247963</v>
      </c>
      <c r="O17" s="8" t="s">
        <v>19</v>
      </c>
    </row>
    <row r="18" customFormat="false" ht="15" hidden="false" customHeight="false" outlineLevel="0" collapsed="false">
      <c r="A18" s="2" t="s">
        <v>15</v>
      </c>
      <c r="B18" s="2" t="s">
        <v>16</v>
      </c>
      <c r="C18" s="2" t="n">
        <v>2016</v>
      </c>
      <c r="D18" s="3" t="n">
        <v>1159063</v>
      </c>
      <c r="E18" s="3" t="n">
        <v>4989</v>
      </c>
      <c r="F18" s="3" t="n">
        <v>755226</v>
      </c>
      <c r="G18" s="3" t="n">
        <v>3673.5</v>
      </c>
      <c r="H18" s="4" t="n">
        <f aca="false">F18+G18</f>
        <v>758899.5</v>
      </c>
      <c r="I18" s="5" t="n">
        <f aca="false">H18/D18</f>
        <v>0.654752588944691</v>
      </c>
      <c r="J18" s="6" t="n">
        <f aca="false">H18/VLOOKUP(C18,Referencia_Mundial!$A:$B,2,FALSE())*100</f>
        <v>0.38141801095041</v>
      </c>
      <c r="K18" s="2" t="s">
        <v>20</v>
      </c>
      <c r="L18" s="2" t="s">
        <v>21</v>
      </c>
      <c r="M18" s="7" t="str">
        <f aca="false">IF(F18&gt;=G18,"Captura silvestre","Acuicultura")</f>
        <v>Captura silvestre</v>
      </c>
      <c r="N18" s="6" t="n">
        <f aca="false">(H18-H17)/H17*100</f>
        <v>-7.22076935782035</v>
      </c>
      <c r="O18" s="8" t="s">
        <v>19</v>
      </c>
    </row>
    <row r="19" customFormat="false" ht="15" hidden="false" customHeight="false" outlineLevel="0" collapsed="false">
      <c r="A19" s="2" t="s">
        <v>15</v>
      </c>
      <c r="B19" s="2" t="s">
        <v>16</v>
      </c>
      <c r="C19" s="2" t="n">
        <v>2017</v>
      </c>
      <c r="D19" s="3" t="n">
        <v>1159063</v>
      </c>
      <c r="E19" s="3" t="n">
        <v>4989</v>
      </c>
      <c r="F19" s="3" t="n">
        <v>835061</v>
      </c>
      <c r="G19" s="3" t="n">
        <v>3567.8</v>
      </c>
      <c r="H19" s="4" t="n">
        <f aca="false">F19+G19</f>
        <v>838628.8</v>
      </c>
      <c r="I19" s="5" t="n">
        <f aca="false">H19/D19</f>
        <v>0.723540307990161</v>
      </c>
      <c r="J19" s="6" t="n">
        <f aca="false">H19/VLOOKUP(C19,Referencia_Mundial!$A:$B,2,FALSE())*100</f>
        <v>0.405771178671003</v>
      </c>
      <c r="K19" s="2" t="s">
        <v>20</v>
      </c>
      <c r="L19" s="2" t="s">
        <v>21</v>
      </c>
      <c r="M19" s="7" t="str">
        <f aca="false">IF(F19&gt;=G19,"Captura silvestre","Acuicultura")</f>
        <v>Captura silvestre</v>
      </c>
      <c r="N19" s="6" t="n">
        <f aca="false">(H19-H18)/H18*100</f>
        <v>10.5059102028661</v>
      </c>
      <c r="O19" s="8" t="s">
        <v>19</v>
      </c>
    </row>
    <row r="20" customFormat="false" ht="15" hidden="false" customHeight="false" outlineLevel="0" collapsed="false">
      <c r="A20" s="2" t="s">
        <v>15</v>
      </c>
      <c r="B20" s="2" t="s">
        <v>16</v>
      </c>
      <c r="C20" s="2" t="n">
        <v>2018</v>
      </c>
      <c r="D20" s="3" t="n">
        <v>1159063</v>
      </c>
      <c r="E20" s="3" t="n">
        <v>4989</v>
      </c>
      <c r="F20" s="3" t="n">
        <v>835387</v>
      </c>
      <c r="G20" s="3" t="n">
        <v>3205.3</v>
      </c>
      <c r="H20" s="4" t="n">
        <f aca="false">F20+G20</f>
        <v>838592.3</v>
      </c>
      <c r="I20" s="5" t="n">
        <f aca="false">H20/D20</f>
        <v>0.72350881703583</v>
      </c>
      <c r="J20" s="6" t="n">
        <f aca="false">H20/VLOOKUP(C20,Referencia_Mundial!$A:$B,2,FALSE())*100</f>
        <v>0.393062036154482</v>
      </c>
      <c r="K20" s="2" t="s">
        <v>20</v>
      </c>
      <c r="L20" s="2" t="s">
        <v>21</v>
      </c>
      <c r="M20" s="7" t="str">
        <f aca="false">IF(F20&gt;=G20,"Captura silvestre","Acuicultura")</f>
        <v>Captura silvestre</v>
      </c>
      <c r="N20" s="6" t="n">
        <f aca="false">(H20-H19)/H19*100</f>
        <v>-0.00435234277668499</v>
      </c>
      <c r="O20" s="8" t="s">
        <v>19</v>
      </c>
    </row>
    <row r="21" customFormat="false" ht="15" hidden="false" customHeight="false" outlineLevel="0" collapsed="false">
      <c r="A21" s="2" t="s">
        <v>15</v>
      </c>
      <c r="B21" s="2" t="s">
        <v>16</v>
      </c>
      <c r="C21" s="2" t="n">
        <v>2019</v>
      </c>
      <c r="D21" s="3" t="n">
        <v>1159063</v>
      </c>
      <c r="E21" s="3" t="n">
        <v>4989</v>
      </c>
      <c r="F21" s="3" t="n">
        <v>826095</v>
      </c>
      <c r="G21" s="3" t="n">
        <v>2592.2</v>
      </c>
      <c r="H21" s="4" t="n">
        <f aca="false">F21+G21</f>
        <v>828687.2</v>
      </c>
      <c r="I21" s="5" t="n">
        <f aca="false">H21/D21</f>
        <v>0.71496303479621</v>
      </c>
      <c r="J21" s="6" t="n">
        <f aca="false">H21/VLOOKUP(C21,Referencia_Mundial!$A:$B,2,FALSE())*100</f>
        <v>0.388732502818596</v>
      </c>
      <c r="K21" s="2" t="s">
        <v>20</v>
      </c>
      <c r="L21" s="2" t="s">
        <v>21</v>
      </c>
      <c r="M21" s="7" t="str">
        <f aca="false">IF(F21&gt;=G21,"Captura silvestre","Acuicultura")</f>
        <v>Captura silvestre</v>
      </c>
      <c r="N21" s="6" t="n">
        <f aca="false">(H21-H20)/H20*100</f>
        <v>-1.18115799536916</v>
      </c>
      <c r="O21" s="8" t="s">
        <v>19</v>
      </c>
    </row>
    <row r="22" customFormat="false" ht="15" hidden="false" customHeight="false" outlineLevel="0" collapsed="false">
      <c r="A22" s="2" t="s">
        <v>15</v>
      </c>
      <c r="B22" s="2" t="s">
        <v>16</v>
      </c>
      <c r="C22" s="2" t="n">
        <v>2020</v>
      </c>
      <c r="D22" s="3" t="n">
        <v>1159063</v>
      </c>
      <c r="E22" s="3" t="n">
        <v>4989</v>
      </c>
      <c r="F22" s="3" t="n">
        <v>837589.5</v>
      </c>
      <c r="G22" s="3" t="n">
        <v>2084.5</v>
      </c>
      <c r="H22" s="4" t="n">
        <f aca="false">F22+G22</f>
        <v>839674</v>
      </c>
      <c r="I22" s="5" t="n">
        <f aca="false">H22/D22</f>
        <v>0.724442070879668</v>
      </c>
      <c r="J22" s="6" t="n">
        <f aca="false">H22/VLOOKUP(C22,Referencia_Mundial!$A:$B,2,FALSE())*100</f>
        <v>0.39329927782147</v>
      </c>
      <c r="K22" s="2" t="s">
        <v>20</v>
      </c>
      <c r="L22" s="2" t="s">
        <v>21</v>
      </c>
      <c r="M22" s="7" t="str">
        <f aca="false">IF(F22&gt;=G22,"Captura silvestre","Acuicultura")</f>
        <v>Captura silvestre</v>
      </c>
      <c r="N22" s="6" t="n">
        <f aca="false">(H22-H21)/H21*100</f>
        <v>1.32580785608853</v>
      </c>
      <c r="O22" s="8" t="s">
        <v>19</v>
      </c>
    </row>
    <row r="23" customFormat="false" ht="15" hidden="false" customHeight="false" outlineLevel="0" collapsed="false">
      <c r="A23" s="2" t="s">
        <v>15</v>
      </c>
      <c r="B23" s="2" t="s">
        <v>16</v>
      </c>
      <c r="C23" s="2" t="n">
        <v>2021</v>
      </c>
      <c r="D23" s="3" t="n">
        <v>1159063</v>
      </c>
      <c r="E23" s="3" t="n">
        <v>4989</v>
      </c>
      <c r="F23" s="3" t="n">
        <v>852565.8</v>
      </c>
      <c r="G23" s="3" t="n">
        <v>3687</v>
      </c>
      <c r="H23" s="4" t="n">
        <f aca="false">F23+G23</f>
        <v>856252.8</v>
      </c>
      <c r="I23" s="5" t="n">
        <f aca="false">H23/D23</f>
        <v>0.738745693719841</v>
      </c>
      <c r="J23" s="6" t="n">
        <f aca="false">H23/VLOOKUP(C23,Referencia_Mundial!$A:$B,2,FALSE())*100</f>
        <v>0.391007038822609</v>
      </c>
      <c r="K23" s="2" t="s">
        <v>20</v>
      </c>
      <c r="L23" s="2" t="s">
        <v>21</v>
      </c>
      <c r="M23" s="7" t="str">
        <f aca="false">IF(F23&gt;=G23,"Captura silvestre","Acuicultura")</f>
        <v>Captura silvestre</v>
      </c>
      <c r="N23" s="6" t="n">
        <f aca="false">(H23-H22)/H22*100</f>
        <v>1.97443293468656</v>
      </c>
      <c r="O23" s="8" t="s">
        <v>19</v>
      </c>
    </row>
    <row r="24" customFormat="false" ht="15" hidden="false" customHeight="false" outlineLevel="0" collapsed="false">
      <c r="A24" s="2" t="s">
        <v>15</v>
      </c>
      <c r="B24" s="2" t="s">
        <v>16</v>
      </c>
      <c r="C24" s="2" t="n">
        <v>2022</v>
      </c>
      <c r="D24" s="3" t="n">
        <v>1159063</v>
      </c>
      <c r="E24" s="3" t="n">
        <v>4989</v>
      </c>
      <c r="F24" s="3" t="n">
        <v>847752.7</v>
      </c>
      <c r="G24" s="3" t="n">
        <v>6022</v>
      </c>
      <c r="H24" s="4" t="n">
        <f aca="false">F24+G24</f>
        <v>853774.7</v>
      </c>
      <c r="I24" s="5" t="n">
        <f aca="false">H24/D24</f>
        <v>0.73660767361222</v>
      </c>
      <c r="J24" s="6" t="n">
        <f aca="false">H24/VLOOKUP(C24,Referencia_Mundial!$A:$B,2,FALSE())*100</f>
        <v>0.382700016049363</v>
      </c>
      <c r="K24" s="2" t="s">
        <v>20</v>
      </c>
      <c r="L24" s="2" t="s">
        <v>21</v>
      </c>
      <c r="M24" s="7" t="str">
        <f aca="false">IF(F24&gt;=G24,"Captura silvestre","Acuicultura")</f>
        <v>Captura silvestre</v>
      </c>
      <c r="N24" s="6" t="n">
        <f aca="false">(H24-H23)/H23*100</f>
        <v>-0.289412192287149</v>
      </c>
      <c r="O24" s="8" t="s">
        <v>19</v>
      </c>
    </row>
    <row r="25" customFormat="false" ht="15" hidden="false" customHeight="false" outlineLevel="0" collapsed="false">
      <c r="A25" s="2" t="s">
        <v>15</v>
      </c>
      <c r="B25" s="2" t="s">
        <v>16</v>
      </c>
      <c r="C25" s="2" t="n">
        <v>2023</v>
      </c>
      <c r="D25" s="3" t="n">
        <v>1159063</v>
      </c>
      <c r="E25" s="3" t="n">
        <v>4989</v>
      </c>
      <c r="F25" s="3" t="n">
        <v>827233</v>
      </c>
      <c r="G25" s="3" t="n">
        <v>5516</v>
      </c>
      <c r="H25" s="4" t="n">
        <f aca="false">F25+G25</f>
        <v>832749</v>
      </c>
      <c r="I25" s="5" t="n">
        <f aca="false">H25/D25</f>
        <v>0.718467417215458</v>
      </c>
      <c r="J25" s="6" t="n">
        <f aca="false">H25/VLOOKUP(C25,Referencia_Mundial!$A:$B,2,FALSE())*100</f>
        <v>0.365395594408755</v>
      </c>
      <c r="K25" s="2" t="s">
        <v>20</v>
      </c>
      <c r="L25" s="2" t="s">
        <v>21</v>
      </c>
      <c r="M25" s="7" t="str">
        <f aca="false">IF(F25&gt;=G25,"Captura silvestre","Acuicultura")</f>
        <v>Captura silvestre</v>
      </c>
      <c r="N25" s="6" t="n">
        <f aca="false">(H25-H24)/H24*100</f>
        <v>-2.46267545758851</v>
      </c>
      <c r="O25" s="8" t="s">
        <v>19</v>
      </c>
    </row>
    <row r="26" customFormat="false" ht="15" hidden="false" customHeight="false" outlineLevel="0" collapsed="false">
      <c r="A26" s="2" t="s">
        <v>22</v>
      </c>
      <c r="B26" s="2" t="s">
        <v>16</v>
      </c>
      <c r="C26" s="2" t="n">
        <v>2000</v>
      </c>
      <c r="D26" s="3" t="n">
        <v>3648532</v>
      </c>
      <c r="E26" s="3" t="n">
        <v>6435</v>
      </c>
      <c r="F26" s="3" t="n">
        <v>4547594</v>
      </c>
      <c r="G26" s="3" t="n">
        <v>425058</v>
      </c>
      <c r="H26" s="4" t="n">
        <f aca="false">F26+G26</f>
        <v>4972652</v>
      </c>
      <c r="I26" s="5" t="n">
        <f aca="false">H26/D26</f>
        <v>1.36291856560392</v>
      </c>
      <c r="J26" s="6" t="n">
        <f aca="false">H26/VLOOKUP(C26,Referencia_Mundial!$A:$B,2,FALSE())*100</f>
        <v>3.60880935208401</v>
      </c>
      <c r="K26" s="2" t="s">
        <v>23</v>
      </c>
      <c r="L26" s="2" t="s">
        <v>24</v>
      </c>
      <c r="M26" s="7" t="str">
        <f aca="false">IF(F26&gt;=G26,"Captura silvestre","Acuicultura")</f>
        <v>Captura silvestre</v>
      </c>
      <c r="N26" s="6"/>
      <c r="O26" s="8" t="s">
        <v>19</v>
      </c>
    </row>
    <row r="27" customFormat="false" ht="15" hidden="false" customHeight="false" outlineLevel="0" collapsed="false">
      <c r="A27" s="2" t="s">
        <v>22</v>
      </c>
      <c r="B27" s="2" t="s">
        <v>16</v>
      </c>
      <c r="C27" s="2" t="n">
        <v>2001</v>
      </c>
      <c r="D27" s="3" t="n">
        <v>3648532</v>
      </c>
      <c r="E27" s="3" t="n">
        <v>6435</v>
      </c>
      <c r="F27" s="3" t="n">
        <v>4031799</v>
      </c>
      <c r="G27" s="3" t="n">
        <v>631634</v>
      </c>
      <c r="H27" s="4" t="n">
        <f aca="false">F27+G27</f>
        <v>4663433</v>
      </c>
      <c r="I27" s="5" t="n">
        <f aca="false">H27/D27</f>
        <v>1.27816694495211</v>
      </c>
      <c r="J27" s="6" t="n">
        <f aca="false">H27/VLOOKUP(C27,Referencia_Mundial!$A:$B,2,FALSE())*100</f>
        <v>3.3904490363872</v>
      </c>
      <c r="K27" s="2" t="s">
        <v>25</v>
      </c>
      <c r="L27" s="2" t="s">
        <v>26</v>
      </c>
      <c r="M27" s="7" t="str">
        <f aca="false">IF(F27&gt;=G27,"Captura silvestre","Acuicultura")</f>
        <v>Captura silvestre</v>
      </c>
      <c r="N27" s="6" t="n">
        <f aca="false">(H27-H26)/H26*100</f>
        <v>-6.21839211752602</v>
      </c>
      <c r="O27" s="8" t="s">
        <v>19</v>
      </c>
    </row>
    <row r="28" customFormat="false" ht="15" hidden="false" customHeight="false" outlineLevel="0" collapsed="false">
      <c r="A28" s="2" t="s">
        <v>22</v>
      </c>
      <c r="B28" s="2" t="s">
        <v>16</v>
      </c>
      <c r="C28" s="2" t="n">
        <v>2002</v>
      </c>
      <c r="D28" s="3" t="n">
        <v>3648532</v>
      </c>
      <c r="E28" s="3" t="n">
        <v>6435</v>
      </c>
      <c r="F28" s="3" t="n">
        <v>4515437</v>
      </c>
      <c r="G28" s="3" t="n">
        <v>617303</v>
      </c>
      <c r="H28" s="4" t="n">
        <f aca="false">F28+G28</f>
        <v>5132740</v>
      </c>
      <c r="I28" s="5" t="n">
        <f aca="false">H28/D28</f>
        <v>1.40679593875016</v>
      </c>
      <c r="J28" s="6" t="n">
        <f aca="false">H28/VLOOKUP(C28,Referencia_Mundial!$A:$B,2,FALSE())*100</f>
        <v>3.63976140627356</v>
      </c>
      <c r="K28" s="2" t="s">
        <v>23</v>
      </c>
      <c r="L28" s="2" t="s">
        <v>24</v>
      </c>
      <c r="M28" s="7" t="str">
        <f aca="false">IF(F28&gt;=G28,"Captura silvestre","Acuicultura")</f>
        <v>Captura silvestre</v>
      </c>
      <c r="N28" s="6" t="n">
        <f aca="false">(H28-H27)/H27*100</f>
        <v>10.063551894066</v>
      </c>
      <c r="O28" s="8" t="s">
        <v>19</v>
      </c>
    </row>
    <row r="29" customFormat="false" ht="15" hidden="false" customHeight="false" outlineLevel="0" collapsed="false">
      <c r="A29" s="2" t="s">
        <v>22</v>
      </c>
      <c r="B29" s="2" t="s">
        <v>16</v>
      </c>
      <c r="C29" s="2" t="n">
        <v>2003</v>
      </c>
      <c r="D29" s="3" t="n">
        <v>3648532</v>
      </c>
      <c r="E29" s="3" t="n">
        <v>6435</v>
      </c>
      <c r="F29" s="3" t="n">
        <v>3921103</v>
      </c>
      <c r="G29" s="3" t="n">
        <v>607338</v>
      </c>
      <c r="H29" s="4" t="n">
        <f aca="false">F29+G29</f>
        <v>4528441</v>
      </c>
      <c r="I29" s="5" t="n">
        <f aca="false">H29/D29</f>
        <v>1.24116795467328</v>
      </c>
      <c r="J29" s="6" t="n">
        <f aca="false">H29/VLOOKUP(C29,Referencia_Mundial!$A:$B,2,FALSE())*100</f>
        <v>3.20849528640449</v>
      </c>
      <c r="K29" s="2" t="s">
        <v>25</v>
      </c>
      <c r="L29" s="2" t="s">
        <v>26</v>
      </c>
      <c r="M29" s="7" t="str">
        <f aca="false">IF(F29&gt;=G29,"Captura silvestre","Acuicultura")</f>
        <v>Captura silvestre</v>
      </c>
      <c r="N29" s="6" t="n">
        <f aca="false">(H29-H28)/H28*100</f>
        <v>-11.7734192653437</v>
      </c>
      <c r="O29" s="8" t="s">
        <v>19</v>
      </c>
    </row>
    <row r="30" customFormat="false" ht="15" hidden="false" customHeight="false" outlineLevel="0" collapsed="false">
      <c r="A30" s="2" t="s">
        <v>22</v>
      </c>
      <c r="B30" s="2" t="s">
        <v>16</v>
      </c>
      <c r="C30" s="2" t="n">
        <v>2004</v>
      </c>
      <c r="D30" s="3" t="n">
        <v>3648532</v>
      </c>
      <c r="E30" s="3" t="n">
        <v>6435</v>
      </c>
      <c r="F30" s="3" t="n">
        <v>5317385</v>
      </c>
      <c r="G30" s="3" t="n">
        <v>696157</v>
      </c>
      <c r="H30" s="4" t="n">
        <f aca="false">F30+G30</f>
        <v>6013542</v>
      </c>
      <c r="I30" s="5" t="n">
        <f aca="false">H30/D30</f>
        <v>1.64820864939652</v>
      </c>
      <c r="J30" s="6" t="n">
        <f aca="false">H30/VLOOKUP(C30,Referencia_Mundial!$A:$B,2,FALSE())*100</f>
        <v>4.00791017814031</v>
      </c>
      <c r="K30" s="2" t="s">
        <v>23</v>
      </c>
      <c r="L30" s="2" t="s">
        <v>24</v>
      </c>
      <c r="M30" s="7" t="str">
        <f aca="false">IF(F30&gt;=G30,"Captura silvestre","Acuicultura")</f>
        <v>Captura silvestre</v>
      </c>
      <c r="N30" s="6" t="n">
        <f aca="false">(H30-H29)/H29*100</f>
        <v>32.7949729277692</v>
      </c>
      <c r="O30" s="8" t="s">
        <v>19</v>
      </c>
    </row>
    <row r="31" customFormat="false" ht="15" hidden="false" customHeight="false" outlineLevel="0" collapsed="false">
      <c r="A31" s="2" t="s">
        <v>22</v>
      </c>
      <c r="B31" s="2" t="s">
        <v>16</v>
      </c>
      <c r="C31" s="2" t="n">
        <v>2005</v>
      </c>
      <c r="D31" s="3" t="n">
        <v>3648532</v>
      </c>
      <c r="E31" s="3" t="n">
        <v>6435</v>
      </c>
      <c r="F31" s="3" t="n">
        <v>4738165</v>
      </c>
      <c r="G31" s="3" t="n">
        <v>739368</v>
      </c>
      <c r="H31" s="4" t="n">
        <f aca="false">F31+G31</f>
        <v>5477533</v>
      </c>
      <c r="I31" s="5" t="n">
        <f aca="false">H31/D31</f>
        <v>1.50129778223132</v>
      </c>
      <c r="J31" s="6" t="n">
        <f aca="false">H31/VLOOKUP(C31,Referencia_Mundial!$A:$B,2,FALSE())*100</f>
        <v>3.581756686021</v>
      </c>
      <c r="K31" s="2" t="s">
        <v>23</v>
      </c>
      <c r="L31" s="2" t="s">
        <v>24</v>
      </c>
      <c r="M31" s="7" t="str">
        <f aca="false">IF(F31&gt;=G31,"Captura silvestre","Acuicultura")</f>
        <v>Captura silvestre</v>
      </c>
      <c r="N31" s="6" t="n">
        <f aca="false">(H31-H30)/H30*100</f>
        <v>-8.91336586657248</v>
      </c>
      <c r="O31" s="8" t="s">
        <v>19</v>
      </c>
    </row>
    <row r="32" customFormat="false" ht="15" hidden="false" customHeight="false" outlineLevel="0" collapsed="false">
      <c r="A32" s="2" t="s">
        <v>22</v>
      </c>
      <c r="B32" s="2" t="s">
        <v>16</v>
      </c>
      <c r="C32" s="2" t="n">
        <v>2006</v>
      </c>
      <c r="D32" s="3" t="n">
        <v>3648532</v>
      </c>
      <c r="E32" s="3" t="n">
        <v>6435</v>
      </c>
      <c r="F32" s="3" t="n">
        <v>4461856</v>
      </c>
      <c r="G32" s="3" t="n">
        <v>832329</v>
      </c>
      <c r="H32" s="4" t="n">
        <f aca="false">F32+G32</f>
        <v>5294185</v>
      </c>
      <c r="I32" s="5" t="n">
        <f aca="false">H32/D32</f>
        <v>1.45104524230567</v>
      </c>
      <c r="J32" s="6" t="n">
        <f aca="false">H32/VLOOKUP(C32,Referencia_Mundial!$A:$B,2,FALSE())*100</f>
        <v>3.4317805963637</v>
      </c>
      <c r="K32" s="2" t="s">
        <v>25</v>
      </c>
      <c r="L32" s="2" t="s">
        <v>26</v>
      </c>
      <c r="M32" s="7" t="str">
        <f aca="false">IF(F32&gt;=G32,"Captura silvestre","Acuicultura")</f>
        <v>Captura silvestre</v>
      </c>
      <c r="N32" s="6" t="n">
        <f aca="false">(H32-H31)/H31*100</f>
        <v>-3.34727330716218</v>
      </c>
      <c r="O32" s="8" t="s">
        <v>19</v>
      </c>
    </row>
    <row r="33" customFormat="false" ht="15" hidden="false" customHeight="false" outlineLevel="0" collapsed="false">
      <c r="A33" s="2" t="s">
        <v>22</v>
      </c>
      <c r="B33" s="2" t="s">
        <v>16</v>
      </c>
      <c r="C33" s="2" t="n">
        <v>2007</v>
      </c>
      <c r="D33" s="3" t="n">
        <v>3648532</v>
      </c>
      <c r="E33" s="3" t="n">
        <v>6435</v>
      </c>
      <c r="F33" s="3" t="n">
        <v>4132854</v>
      </c>
      <c r="G33" s="3" t="n">
        <v>806166</v>
      </c>
      <c r="H33" s="4" t="n">
        <f aca="false">F33+G33</f>
        <v>4939020</v>
      </c>
      <c r="I33" s="5" t="n">
        <f aca="false">H33/D33</f>
        <v>1.35370061164326</v>
      </c>
      <c r="J33" s="6" t="n">
        <f aca="false">H33/VLOOKUP(C33,Referencia_Mundial!$A:$B,2,FALSE())*100</f>
        <v>3.12607240918875</v>
      </c>
      <c r="K33" s="2" t="s">
        <v>23</v>
      </c>
      <c r="L33" s="2" t="s">
        <v>24</v>
      </c>
      <c r="M33" s="7" t="str">
        <f aca="false">IF(F33&gt;=G33,"Captura silvestre","Acuicultura")</f>
        <v>Captura silvestre</v>
      </c>
      <c r="N33" s="6" t="n">
        <f aca="false">(H33-H32)/H32*100</f>
        <v>-6.70858687408921</v>
      </c>
      <c r="O33" s="8" t="s">
        <v>19</v>
      </c>
    </row>
    <row r="34" customFormat="false" ht="15" hidden="false" customHeight="false" outlineLevel="0" collapsed="false">
      <c r="A34" s="2" t="s">
        <v>22</v>
      </c>
      <c r="B34" s="2" t="s">
        <v>16</v>
      </c>
      <c r="C34" s="2" t="n">
        <v>2008</v>
      </c>
      <c r="D34" s="3" t="n">
        <v>3648532</v>
      </c>
      <c r="E34" s="3" t="n">
        <v>6435</v>
      </c>
      <c r="F34" s="3" t="n">
        <v>3939379</v>
      </c>
      <c r="G34" s="3" t="n">
        <v>870845</v>
      </c>
      <c r="H34" s="4" t="n">
        <f aca="false">F34+G34</f>
        <v>4810224</v>
      </c>
      <c r="I34" s="5" t="n">
        <f aca="false">H34/D34</f>
        <v>1.31839983862003</v>
      </c>
      <c r="J34" s="6" t="n">
        <f aca="false">H34/VLOOKUP(C34,Referencia_Mundial!$A:$B,2,FALSE())*100</f>
        <v>2.98766810654718</v>
      </c>
      <c r="K34" s="2" t="s">
        <v>23</v>
      </c>
      <c r="L34" s="2" t="s">
        <v>24</v>
      </c>
      <c r="M34" s="7" t="str">
        <f aca="false">IF(F34&gt;=G34,"Captura silvestre","Acuicultura")</f>
        <v>Captura silvestre</v>
      </c>
      <c r="N34" s="6" t="n">
        <f aca="false">(H34-H33)/H33*100</f>
        <v>-2.60772379945819</v>
      </c>
      <c r="O34" s="8" t="s">
        <v>19</v>
      </c>
    </row>
    <row r="35" customFormat="false" ht="15" hidden="false" customHeight="false" outlineLevel="0" collapsed="false">
      <c r="A35" s="2" t="s">
        <v>22</v>
      </c>
      <c r="B35" s="2" t="s">
        <v>16</v>
      </c>
      <c r="C35" s="2" t="n">
        <v>2009</v>
      </c>
      <c r="D35" s="3" t="n">
        <v>3648532</v>
      </c>
      <c r="E35" s="3" t="n">
        <v>6435</v>
      </c>
      <c r="F35" s="3" t="n">
        <v>3821818</v>
      </c>
      <c r="G35" s="3" t="n">
        <v>881084</v>
      </c>
      <c r="H35" s="4" t="n">
        <f aca="false">F35+G35</f>
        <v>4702902</v>
      </c>
      <c r="I35" s="5" t="n">
        <f aca="false">H35/D35</f>
        <v>1.28898472043003</v>
      </c>
      <c r="J35" s="6" t="n">
        <f aca="false">H35/VLOOKUP(C35,Referencia_Mundial!$A:$B,2,FALSE())*100</f>
        <v>2.86708309264279</v>
      </c>
      <c r="K35" s="2" t="s">
        <v>23</v>
      </c>
      <c r="L35" s="2" t="s">
        <v>24</v>
      </c>
      <c r="M35" s="7" t="str">
        <f aca="false">IF(F35&gt;=G35,"Captura silvestre","Acuicultura")</f>
        <v>Captura silvestre</v>
      </c>
      <c r="N35" s="6" t="n">
        <f aca="false">(H35-H34)/H34*100</f>
        <v>-2.23112270863062</v>
      </c>
      <c r="O35" s="8" t="s">
        <v>19</v>
      </c>
    </row>
    <row r="36" customFormat="false" ht="15" hidden="false" customHeight="false" outlineLevel="0" collapsed="false">
      <c r="A36" s="2" t="s">
        <v>22</v>
      </c>
      <c r="B36" s="2" t="s">
        <v>16</v>
      </c>
      <c r="C36" s="2" t="n">
        <v>2010</v>
      </c>
      <c r="D36" s="3" t="n">
        <v>3648532</v>
      </c>
      <c r="E36" s="3" t="n">
        <v>6435</v>
      </c>
      <c r="F36" s="3" t="n">
        <v>3048316</v>
      </c>
      <c r="G36" s="3" t="n">
        <v>713241</v>
      </c>
      <c r="H36" s="4" t="n">
        <f aca="false">F36+G36</f>
        <v>3761557</v>
      </c>
      <c r="I36" s="5" t="n">
        <f aca="false">H36/D36</f>
        <v>1.03097821260715</v>
      </c>
      <c r="J36" s="6" t="n">
        <f aca="false">H36/VLOOKUP(C36,Referencia_Mundial!$A:$B,2,FALSE())*100</f>
        <v>2.26185934389386</v>
      </c>
      <c r="K36" s="2" t="s">
        <v>23</v>
      </c>
      <c r="L36" s="2" t="s">
        <v>24</v>
      </c>
      <c r="M36" s="7" t="str">
        <f aca="false">IF(F36&gt;=G36,"Captura silvestre","Acuicultura")</f>
        <v>Captura silvestre</v>
      </c>
      <c r="N36" s="6" t="n">
        <f aca="false">(H36-H35)/H35*100</f>
        <v>-20.0162580466274</v>
      </c>
      <c r="O36" s="8" t="s">
        <v>19</v>
      </c>
    </row>
    <row r="37" customFormat="false" ht="15" hidden="false" customHeight="false" outlineLevel="0" collapsed="false">
      <c r="A37" s="2" t="s">
        <v>22</v>
      </c>
      <c r="B37" s="2" t="s">
        <v>16</v>
      </c>
      <c r="C37" s="2" t="n">
        <v>2011</v>
      </c>
      <c r="D37" s="3" t="n">
        <v>3648532</v>
      </c>
      <c r="E37" s="3" t="n">
        <v>6435</v>
      </c>
      <c r="F37" s="3" t="n">
        <v>3466956</v>
      </c>
      <c r="G37" s="3" t="n">
        <v>969539</v>
      </c>
      <c r="H37" s="4" t="n">
        <f aca="false">F37+G37</f>
        <v>4436495</v>
      </c>
      <c r="I37" s="5" t="n">
        <f aca="false">H37/D37</f>
        <v>1.2159671341789</v>
      </c>
      <c r="J37" s="6" t="n">
        <f aca="false">H37/VLOOKUP(C37,Referencia_Mundial!$A:$B,2,FALSE())*100</f>
        <v>2.54426578280313</v>
      </c>
      <c r="K37" s="2" t="s">
        <v>23</v>
      </c>
      <c r="L37" s="2" t="s">
        <v>24</v>
      </c>
      <c r="M37" s="7" t="str">
        <f aca="false">IF(F37&gt;=G37,"Captura silvestre","Acuicultura")</f>
        <v>Captura silvestre</v>
      </c>
      <c r="N37" s="6" t="n">
        <f aca="false">(H37-H36)/H36*100</f>
        <v>17.9430485833393</v>
      </c>
      <c r="O37" s="8" t="s">
        <v>19</v>
      </c>
    </row>
    <row r="38" customFormat="false" ht="15" hidden="false" customHeight="false" outlineLevel="0" collapsed="false">
      <c r="A38" s="2" t="s">
        <v>22</v>
      </c>
      <c r="B38" s="2" t="s">
        <v>16</v>
      </c>
      <c r="C38" s="2" t="n">
        <v>2012</v>
      </c>
      <c r="D38" s="3" t="n">
        <v>3648532</v>
      </c>
      <c r="E38" s="3" t="n">
        <v>6435</v>
      </c>
      <c r="F38" s="3" t="n">
        <v>3007536.3</v>
      </c>
      <c r="G38" s="3" t="n">
        <v>1075547</v>
      </c>
      <c r="H38" s="4" t="n">
        <f aca="false">F38+G38</f>
        <v>4083083.3</v>
      </c>
      <c r="I38" s="5" t="n">
        <f aca="false">H38/D38</f>
        <v>1.1191030529539</v>
      </c>
      <c r="J38" s="6" t="n">
        <f aca="false">H38/VLOOKUP(C38,Referencia_Mundial!$A:$B,2,FALSE())*100</f>
        <v>2.29295057968128</v>
      </c>
      <c r="K38" s="2" t="s">
        <v>23</v>
      </c>
      <c r="L38" s="2" t="s">
        <v>24</v>
      </c>
      <c r="M38" s="7" t="str">
        <f aca="false">IF(F38&gt;=G38,"Captura silvestre","Acuicultura")</f>
        <v>Captura silvestre</v>
      </c>
      <c r="N38" s="6" t="n">
        <f aca="false">(H38-H37)/H37*100</f>
        <v>-7.96601145724272</v>
      </c>
      <c r="O38" s="8" t="s">
        <v>19</v>
      </c>
    </row>
    <row r="39" customFormat="false" ht="15" hidden="false" customHeight="false" outlineLevel="0" collapsed="false">
      <c r="A39" s="2" t="s">
        <v>22</v>
      </c>
      <c r="B39" s="2" t="s">
        <v>16</v>
      </c>
      <c r="C39" s="2" t="n">
        <v>2013</v>
      </c>
      <c r="D39" s="3" t="n">
        <v>3648532</v>
      </c>
      <c r="E39" s="3" t="n">
        <v>6435</v>
      </c>
      <c r="F39" s="3" t="n">
        <v>2288875</v>
      </c>
      <c r="G39" s="3" t="n">
        <v>1045718</v>
      </c>
      <c r="H39" s="4" t="n">
        <f aca="false">F39+G39</f>
        <v>3334593</v>
      </c>
      <c r="I39" s="5" t="n">
        <f aca="false">H39/D39</f>
        <v>0.913954708359417</v>
      </c>
      <c r="J39" s="6" t="n">
        <f aca="false">H39/VLOOKUP(C39,Referencia_Mundial!$A:$B,2,FALSE())*100</f>
        <v>1.79269728844023</v>
      </c>
      <c r="K39" s="2" t="s">
        <v>23</v>
      </c>
      <c r="L39" s="2" t="s">
        <v>24</v>
      </c>
      <c r="M39" s="7" t="str">
        <f aca="false">IF(F39&gt;=G39,"Captura silvestre","Acuicultura")</f>
        <v>Captura silvestre</v>
      </c>
      <c r="N39" s="6" t="n">
        <f aca="false">(H39-H38)/H38*100</f>
        <v>-18.3314971800845</v>
      </c>
      <c r="O39" s="8" t="s">
        <v>19</v>
      </c>
    </row>
    <row r="40" customFormat="false" ht="15" hidden="false" customHeight="false" outlineLevel="0" collapsed="false">
      <c r="A40" s="2" t="s">
        <v>22</v>
      </c>
      <c r="B40" s="2" t="s">
        <v>16</v>
      </c>
      <c r="C40" s="2" t="n">
        <v>2014</v>
      </c>
      <c r="D40" s="3" t="n">
        <v>3648532</v>
      </c>
      <c r="E40" s="3" t="n">
        <v>6435</v>
      </c>
      <c r="F40" s="3" t="n">
        <v>2592748.5</v>
      </c>
      <c r="G40" s="3" t="n">
        <v>1227359</v>
      </c>
      <c r="H40" s="4" t="n">
        <f aca="false">F40+G40</f>
        <v>3820107.5</v>
      </c>
      <c r="I40" s="5" t="n">
        <f aca="false">H40/D40</f>
        <v>1.04702589973173</v>
      </c>
      <c r="J40" s="6" t="n">
        <f aca="false">H40/VLOOKUP(C40,Referencia_Mundial!$A:$B,2,FALSE())*100</f>
        <v>1.99839841034455</v>
      </c>
      <c r="K40" s="2" t="s">
        <v>23</v>
      </c>
      <c r="L40" s="2" t="s">
        <v>24</v>
      </c>
      <c r="M40" s="7" t="str">
        <f aca="false">IF(F40&gt;=G40,"Captura silvestre","Acuicultura")</f>
        <v>Captura silvestre</v>
      </c>
      <c r="N40" s="6" t="n">
        <f aca="false">(H40-H39)/H39*100</f>
        <v>14.5599328013944</v>
      </c>
      <c r="O40" s="8" t="s">
        <v>19</v>
      </c>
    </row>
    <row r="41" customFormat="false" ht="15" hidden="false" customHeight="false" outlineLevel="0" collapsed="false">
      <c r="A41" s="2" t="s">
        <v>22</v>
      </c>
      <c r="B41" s="2" t="s">
        <v>16</v>
      </c>
      <c r="C41" s="2" t="n">
        <v>2015</v>
      </c>
      <c r="D41" s="3" t="n">
        <v>3648532</v>
      </c>
      <c r="E41" s="3" t="n">
        <v>6435</v>
      </c>
      <c r="F41" s="3" t="n">
        <v>2131693.1</v>
      </c>
      <c r="G41" s="3" t="n">
        <v>1057742</v>
      </c>
      <c r="H41" s="4" t="n">
        <f aca="false">F41+G41</f>
        <v>3189435.1</v>
      </c>
      <c r="I41" s="5" t="n">
        <f aca="false">H41/D41</f>
        <v>0.874169419371956</v>
      </c>
      <c r="J41" s="6" t="n">
        <f aca="false">H41/VLOOKUP(C41,Referencia_Mundial!$A:$B,2,FALSE())*100</f>
        <v>1.62091240354624</v>
      </c>
      <c r="K41" s="2" t="s">
        <v>27</v>
      </c>
      <c r="L41" s="2" t="s">
        <v>28</v>
      </c>
      <c r="M41" s="7" t="str">
        <f aca="false">IF(F41&gt;=G41,"Captura silvestre","Acuicultura")</f>
        <v>Captura silvestre</v>
      </c>
      <c r="N41" s="6" t="n">
        <f aca="false">(H41-H40)/H40*100</f>
        <v>-16.5092840973716</v>
      </c>
      <c r="O41" s="8" t="s">
        <v>19</v>
      </c>
    </row>
    <row r="42" customFormat="false" ht="15" hidden="false" customHeight="false" outlineLevel="0" collapsed="false">
      <c r="A42" s="2" t="s">
        <v>22</v>
      </c>
      <c r="B42" s="2" t="s">
        <v>16</v>
      </c>
      <c r="C42" s="2" t="n">
        <v>2016</v>
      </c>
      <c r="D42" s="3" t="n">
        <v>3648532</v>
      </c>
      <c r="E42" s="3" t="n">
        <v>6435</v>
      </c>
      <c r="F42" s="3" t="n">
        <v>1826602.6</v>
      </c>
      <c r="G42" s="3" t="n">
        <v>1050117</v>
      </c>
      <c r="H42" s="4" t="n">
        <f aca="false">F42+G42</f>
        <v>2876719.6</v>
      </c>
      <c r="I42" s="5" t="n">
        <f aca="false">H42/D42</f>
        <v>0.788459468081957</v>
      </c>
      <c r="J42" s="6" t="n">
        <f aca="false">H42/VLOOKUP(C42,Referencia_Mundial!$A:$B,2,FALSE())*100</f>
        <v>1.44582078113645</v>
      </c>
      <c r="K42" s="2" t="s">
        <v>27</v>
      </c>
      <c r="L42" s="2" t="s">
        <v>28</v>
      </c>
      <c r="M42" s="7" t="str">
        <f aca="false">IF(F42&gt;=G42,"Captura silvestre","Acuicultura")</f>
        <v>Captura silvestre</v>
      </c>
      <c r="N42" s="6" t="n">
        <f aca="false">(H42-H41)/H41*100</f>
        <v>-9.80472999748451</v>
      </c>
      <c r="O42" s="8" t="s">
        <v>19</v>
      </c>
    </row>
    <row r="43" customFormat="false" ht="15" hidden="false" customHeight="false" outlineLevel="0" collapsed="false">
      <c r="A43" s="2" t="s">
        <v>22</v>
      </c>
      <c r="B43" s="2" t="s">
        <v>16</v>
      </c>
      <c r="C43" s="2" t="n">
        <v>2017</v>
      </c>
      <c r="D43" s="3" t="n">
        <v>3648532</v>
      </c>
      <c r="E43" s="3" t="n">
        <v>6435</v>
      </c>
      <c r="F43" s="3" t="n">
        <v>2335016.1</v>
      </c>
      <c r="G43" s="3" t="n">
        <v>1219747.1</v>
      </c>
      <c r="H43" s="4" t="n">
        <f aca="false">F43+G43</f>
        <v>3554763.2</v>
      </c>
      <c r="I43" s="5" t="n">
        <f aca="false">H43/D43</f>
        <v>0.974299581311059</v>
      </c>
      <c r="J43" s="6" t="n">
        <f aca="false">H43/VLOOKUP(C43,Referencia_Mundial!$A:$B,2,FALSE())*100</f>
        <v>1.71997486082079</v>
      </c>
      <c r="K43" s="2" t="s">
        <v>23</v>
      </c>
      <c r="L43" s="2" t="s">
        <v>24</v>
      </c>
      <c r="M43" s="7" t="str">
        <f aca="false">IF(F43&gt;=G43,"Captura silvestre","Acuicultura")</f>
        <v>Captura silvestre</v>
      </c>
      <c r="N43" s="6" t="n">
        <f aca="false">(H43-H42)/H42*100</f>
        <v>23.5700274715687</v>
      </c>
      <c r="O43" s="8" t="s">
        <v>19</v>
      </c>
    </row>
    <row r="44" customFormat="false" ht="15" hidden="false" customHeight="false" outlineLevel="0" collapsed="false">
      <c r="A44" s="2" t="s">
        <v>22</v>
      </c>
      <c r="B44" s="2" t="s">
        <v>16</v>
      </c>
      <c r="C44" s="2" t="n">
        <v>2018</v>
      </c>
      <c r="D44" s="3" t="n">
        <v>3648532</v>
      </c>
      <c r="E44" s="3" t="n">
        <v>6435</v>
      </c>
      <c r="F44" s="3" t="n">
        <v>2371683.4</v>
      </c>
      <c r="G44" s="3" t="n">
        <v>1287232.6</v>
      </c>
      <c r="H44" s="4" t="n">
        <f aca="false">F44+G44</f>
        <v>3658916</v>
      </c>
      <c r="I44" s="5" t="n">
        <f aca="false">H44/D44</f>
        <v>1.00284607617529</v>
      </c>
      <c r="J44" s="6" t="n">
        <f aca="false">H44/VLOOKUP(C44,Referencia_Mundial!$A:$B,2,FALSE())*100</f>
        <v>1.71499425057708</v>
      </c>
      <c r="K44" s="2" t="s">
        <v>23</v>
      </c>
      <c r="L44" s="2" t="s">
        <v>24</v>
      </c>
      <c r="M44" s="7" t="str">
        <f aca="false">IF(F44&gt;=G44,"Captura silvestre","Acuicultura")</f>
        <v>Captura silvestre</v>
      </c>
      <c r="N44" s="6" t="n">
        <f aca="false">(H44-H43)/H43*100</f>
        <v>2.92995043945543</v>
      </c>
      <c r="O44" s="8" t="s">
        <v>19</v>
      </c>
    </row>
    <row r="45" customFormat="false" ht="15" hidden="false" customHeight="false" outlineLevel="0" collapsed="false">
      <c r="A45" s="2" t="s">
        <v>22</v>
      </c>
      <c r="B45" s="2" t="s">
        <v>16</v>
      </c>
      <c r="C45" s="2" t="n">
        <v>2019</v>
      </c>
      <c r="D45" s="3" t="n">
        <v>3648532</v>
      </c>
      <c r="E45" s="3" t="n">
        <v>6435</v>
      </c>
      <c r="F45" s="3" t="n">
        <v>2380300.7</v>
      </c>
      <c r="G45" s="3" t="n">
        <v>1407289</v>
      </c>
      <c r="H45" s="4" t="n">
        <f aca="false">F45+G45</f>
        <v>3787589.7</v>
      </c>
      <c r="I45" s="5" t="n">
        <f aca="false">H45/D45</f>
        <v>1.03811332886761</v>
      </c>
      <c r="J45" s="6" t="n">
        <f aca="false">H45/VLOOKUP(C45,Referencia_Mundial!$A:$B,2,FALSE())*100</f>
        <v>1.77673701697207</v>
      </c>
      <c r="K45" s="2" t="s">
        <v>23</v>
      </c>
      <c r="L45" s="2" t="s">
        <v>24</v>
      </c>
      <c r="M45" s="7" t="str">
        <f aca="false">IF(F45&gt;=G45,"Captura silvestre","Acuicultura")</f>
        <v>Captura silvestre</v>
      </c>
      <c r="N45" s="6" t="n">
        <f aca="false">(H45-H44)/H44*100</f>
        <v>3.51671642639515</v>
      </c>
      <c r="O45" s="8" t="s">
        <v>19</v>
      </c>
    </row>
    <row r="46" customFormat="false" ht="15" hidden="false" customHeight="false" outlineLevel="0" collapsed="false">
      <c r="A46" s="2" t="s">
        <v>22</v>
      </c>
      <c r="B46" s="2" t="s">
        <v>16</v>
      </c>
      <c r="C46" s="2" t="n">
        <v>2020</v>
      </c>
      <c r="D46" s="3" t="n">
        <v>3648532</v>
      </c>
      <c r="E46" s="3" t="n">
        <v>6435</v>
      </c>
      <c r="F46" s="3" t="n">
        <v>2183235.8</v>
      </c>
      <c r="G46" s="3" t="n">
        <v>1505486</v>
      </c>
      <c r="H46" s="4" t="n">
        <f aca="false">F46+G46</f>
        <v>3688721.8</v>
      </c>
      <c r="I46" s="5" t="n">
        <f aca="false">H46/D46</f>
        <v>1.01101533438654</v>
      </c>
      <c r="J46" s="6" t="n">
        <f aca="false">H46/VLOOKUP(C46,Referencia_Mundial!$A:$B,2,FALSE())*100</f>
        <v>1.72777961449838</v>
      </c>
      <c r="K46" s="2" t="s">
        <v>27</v>
      </c>
      <c r="L46" s="2" t="s">
        <v>28</v>
      </c>
      <c r="M46" s="7" t="str">
        <f aca="false">IF(F46&gt;=G46,"Captura silvestre","Acuicultura")</f>
        <v>Captura silvestre</v>
      </c>
      <c r="N46" s="6" t="n">
        <f aca="false">(H46-H45)/H45*100</f>
        <v>-2.61031177690657</v>
      </c>
      <c r="O46" s="8" t="s">
        <v>19</v>
      </c>
    </row>
    <row r="47" customFormat="false" ht="15" hidden="false" customHeight="false" outlineLevel="0" collapsed="false">
      <c r="A47" s="2" t="s">
        <v>22</v>
      </c>
      <c r="B47" s="2" t="s">
        <v>16</v>
      </c>
      <c r="C47" s="2" t="n">
        <v>2021</v>
      </c>
      <c r="D47" s="3" t="n">
        <v>3648532</v>
      </c>
      <c r="E47" s="3" t="n">
        <v>6435</v>
      </c>
      <c r="F47" s="3" t="n">
        <v>2391196.6</v>
      </c>
      <c r="G47" s="3" t="n">
        <v>1443520</v>
      </c>
      <c r="H47" s="4" t="n">
        <f aca="false">F47+G47</f>
        <v>3834716.6</v>
      </c>
      <c r="I47" s="5" t="n">
        <f aca="false">H47/D47</f>
        <v>1.05103000329996</v>
      </c>
      <c r="J47" s="6" t="n">
        <f aca="false">H47/VLOOKUP(C47,Referencia_Mundial!$A:$B,2,FALSE())*100</f>
        <v>1.75111974231197</v>
      </c>
      <c r="K47" s="2" t="s">
        <v>27</v>
      </c>
      <c r="L47" s="2" t="s">
        <v>28</v>
      </c>
      <c r="M47" s="7" t="str">
        <f aca="false">IF(F47&gt;=G47,"Captura silvestre","Acuicultura")</f>
        <v>Captura silvestre</v>
      </c>
      <c r="N47" s="6" t="n">
        <f aca="false">(H47-H46)/H46*100</f>
        <v>3.95786963386613</v>
      </c>
      <c r="O47" s="8" t="s">
        <v>19</v>
      </c>
    </row>
    <row r="48" customFormat="false" ht="15" hidden="false" customHeight="false" outlineLevel="0" collapsed="false">
      <c r="A48" s="2" t="s">
        <v>22</v>
      </c>
      <c r="B48" s="2" t="s">
        <v>16</v>
      </c>
      <c r="C48" s="2" t="n">
        <v>2022</v>
      </c>
      <c r="D48" s="3" t="n">
        <v>3648532</v>
      </c>
      <c r="E48" s="3" t="n">
        <v>6435</v>
      </c>
      <c r="F48" s="3" t="n">
        <v>2691064.2</v>
      </c>
      <c r="G48" s="3" t="n">
        <v>1524149</v>
      </c>
      <c r="H48" s="4" t="n">
        <f aca="false">F48+G48</f>
        <v>4215213.2</v>
      </c>
      <c r="I48" s="5" t="n">
        <f aca="false">H48/D48</f>
        <v>1.15531759074609</v>
      </c>
      <c r="J48" s="6" t="n">
        <f aca="false">H48/VLOOKUP(C48,Referencia_Mundial!$A:$B,2,FALSE())*100</f>
        <v>1.88944713317399</v>
      </c>
      <c r="K48" s="2" t="s">
        <v>25</v>
      </c>
      <c r="L48" s="2" t="s">
        <v>26</v>
      </c>
      <c r="M48" s="7" t="str">
        <f aca="false">IF(F48&gt;=G48,"Captura silvestre","Acuicultura")</f>
        <v>Captura silvestre</v>
      </c>
      <c r="N48" s="6" t="n">
        <f aca="false">(H48-H47)/H47*100</f>
        <v>9.92241773485947</v>
      </c>
      <c r="O48" s="8" t="s">
        <v>19</v>
      </c>
    </row>
    <row r="49" customFormat="false" ht="15" hidden="false" customHeight="false" outlineLevel="0" collapsed="false">
      <c r="A49" s="2" t="s">
        <v>22</v>
      </c>
      <c r="B49" s="2" t="s">
        <v>16</v>
      </c>
      <c r="C49" s="2" t="n">
        <v>2023</v>
      </c>
      <c r="D49" s="3" t="n">
        <v>3648532</v>
      </c>
      <c r="E49" s="3" t="n">
        <v>6435</v>
      </c>
      <c r="F49" s="3" t="n">
        <v>2596488.4</v>
      </c>
      <c r="G49" s="3" t="n">
        <v>1502919</v>
      </c>
      <c r="H49" s="4" t="n">
        <f aca="false">F49+G49</f>
        <v>4099407.4</v>
      </c>
      <c r="I49" s="5" t="n">
        <f aca="false">H49/D49</f>
        <v>1.12357720858691</v>
      </c>
      <c r="J49" s="6" t="n">
        <f aca="false">H49/VLOOKUP(C49,Referencia_Mundial!$A:$B,2,FALSE())*100</f>
        <v>1.79874776630971</v>
      </c>
      <c r="K49" s="2" t="s">
        <v>25</v>
      </c>
      <c r="L49" s="2" t="s">
        <v>26</v>
      </c>
      <c r="M49" s="7" t="str">
        <f aca="false">IF(F49&gt;=G49,"Captura silvestre","Acuicultura")</f>
        <v>Captura silvestre</v>
      </c>
      <c r="N49" s="6" t="n">
        <f aca="false">(H49-H48)/H48*100</f>
        <v>-2.7473296012643</v>
      </c>
      <c r="O49" s="8" t="s">
        <v>19</v>
      </c>
    </row>
    <row r="50" customFormat="false" ht="15" hidden="false" customHeight="false" outlineLevel="0" collapsed="false">
      <c r="A50" s="2" t="s">
        <v>29</v>
      </c>
      <c r="B50" s="2" t="s">
        <v>30</v>
      </c>
      <c r="C50" s="2" t="n">
        <v>2000</v>
      </c>
      <c r="D50" s="3" t="n">
        <v>877019</v>
      </c>
      <c r="E50" s="3" t="n">
        <v>14500</v>
      </c>
      <c r="F50" s="3" t="n">
        <v>14823866</v>
      </c>
      <c r="G50" s="3" t="n">
        <v>29749708</v>
      </c>
      <c r="H50" s="4" t="n">
        <f aca="false">F50+G50</f>
        <v>44573574</v>
      </c>
      <c r="I50" s="5" t="n">
        <f aca="false">H50/D50</f>
        <v>50.8239547831917</v>
      </c>
      <c r="J50" s="6" t="n">
        <f aca="false">H50/VLOOKUP(C50,Referencia_Mundial!$A:$B,2,FALSE())*100</f>
        <v>32.3484391642545</v>
      </c>
      <c r="K50" s="2" t="s">
        <v>31</v>
      </c>
      <c r="L50" s="2" t="s">
        <v>32</v>
      </c>
      <c r="M50" s="7" t="str">
        <f aca="false">IF(F50&gt;=G50,"Captura silvestre","Acuicultura")</f>
        <v>Acuicultura</v>
      </c>
      <c r="N50" s="6"/>
      <c r="O50" s="8" t="s">
        <v>19</v>
      </c>
    </row>
    <row r="51" customFormat="false" ht="15" hidden="false" customHeight="false" outlineLevel="0" collapsed="false">
      <c r="A51" s="2" t="s">
        <v>29</v>
      </c>
      <c r="B51" s="2" t="s">
        <v>30</v>
      </c>
      <c r="C51" s="2" t="n">
        <v>2001</v>
      </c>
      <c r="D51" s="3" t="n">
        <v>877019</v>
      </c>
      <c r="E51" s="3" t="n">
        <v>14500</v>
      </c>
      <c r="F51" s="3" t="n">
        <v>14403875</v>
      </c>
      <c r="G51" s="3" t="n">
        <v>31102502</v>
      </c>
      <c r="H51" s="4" t="n">
        <f aca="false">F51+G51</f>
        <v>45506377</v>
      </c>
      <c r="I51" s="5" t="n">
        <f aca="false">H51/D51</f>
        <v>51.8875611588803</v>
      </c>
      <c r="J51" s="6" t="n">
        <f aca="false">H51/VLOOKUP(C51,Referencia_Mundial!$A:$B,2,FALSE())*100</f>
        <v>33.0844363045684</v>
      </c>
      <c r="K51" s="2" t="s">
        <v>31</v>
      </c>
      <c r="L51" s="2" t="s">
        <v>32</v>
      </c>
      <c r="M51" s="7" t="str">
        <f aca="false">IF(F51&gt;=G51,"Captura silvestre","Acuicultura")</f>
        <v>Acuicultura</v>
      </c>
      <c r="N51" s="6" t="n">
        <f aca="false">(H51-H50)/H50*100</f>
        <v>2.09272651100403</v>
      </c>
      <c r="O51" s="8" t="s">
        <v>19</v>
      </c>
    </row>
    <row r="52" customFormat="false" ht="15" hidden="false" customHeight="false" outlineLevel="0" collapsed="false">
      <c r="A52" s="2" t="s">
        <v>29</v>
      </c>
      <c r="B52" s="2" t="s">
        <v>30</v>
      </c>
      <c r="C52" s="2" t="n">
        <v>2002</v>
      </c>
      <c r="D52" s="3" t="n">
        <v>877019</v>
      </c>
      <c r="E52" s="3" t="n">
        <v>14500</v>
      </c>
      <c r="F52" s="3" t="n">
        <v>14426596</v>
      </c>
      <c r="G52" s="3" t="n">
        <v>33160273</v>
      </c>
      <c r="H52" s="4" t="n">
        <f aca="false">F52+G52</f>
        <v>47586869</v>
      </c>
      <c r="I52" s="5" t="n">
        <f aca="false">H52/D52</f>
        <v>54.2597925472538</v>
      </c>
      <c r="J52" s="6" t="n">
        <f aca="false">H52/VLOOKUP(C52,Referencia_Mundial!$A:$B,2,FALSE())*100</f>
        <v>33.745104803983</v>
      </c>
      <c r="K52" s="2" t="s">
        <v>31</v>
      </c>
      <c r="L52" s="2" t="s">
        <v>32</v>
      </c>
      <c r="M52" s="7" t="str">
        <f aca="false">IF(F52&gt;=G52,"Captura silvestre","Acuicultura")</f>
        <v>Acuicultura</v>
      </c>
      <c r="N52" s="6" t="n">
        <f aca="false">(H52-H51)/H51*100</f>
        <v>4.5718691250679</v>
      </c>
      <c r="O52" s="8" t="s">
        <v>19</v>
      </c>
    </row>
    <row r="53" customFormat="false" ht="15" hidden="false" customHeight="false" outlineLevel="0" collapsed="false">
      <c r="A53" s="2" t="s">
        <v>29</v>
      </c>
      <c r="B53" s="2" t="s">
        <v>30</v>
      </c>
      <c r="C53" s="2" t="n">
        <v>2003</v>
      </c>
      <c r="D53" s="3" t="n">
        <v>877019</v>
      </c>
      <c r="E53" s="3" t="n">
        <v>14500</v>
      </c>
      <c r="F53" s="3" t="n">
        <v>14598934</v>
      </c>
      <c r="G53" s="3" t="n">
        <v>34891716</v>
      </c>
      <c r="H53" s="4" t="n">
        <f aca="false">F53+G53</f>
        <v>49490650</v>
      </c>
      <c r="I53" s="5" t="n">
        <f aca="false">H53/D53</f>
        <v>56.4305334320009</v>
      </c>
      <c r="J53" s="6" t="n">
        <f aca="false">H53/VLOOKUP(C53,Referencia_Mundial!$A:$B,2,FALSE())*100</f>
        <v>35.0651619941817</v>
      </c>
      <c r="K53" s="2" t="s">
        <v>31</v>
      </c>
      <c r="L53" s="2" t="s">
        <v>32</v>
      </c>
      <c r="M53" s="7" t="str">
        <f aca="false">IF(F53&gt;=G53,"Captura silvestre","Acuicultura")</f>
        <v>Acuicultura</v>
      </c>
      <c r="N53" s="6" t="n">
        <f aca="false">(H53-H52)/H52*100</f>
        <v>4.00064353887204</v>
      </c>
      <c r="O53" s="8" t="s">
        <v>19</v>
      </c>
    </row>
    <row r="54" customFormat="false" ht="15" hidden="false" customHeight="false" outlineLevel="0" collapsed="false">
      <c r="A54" s="2" t="s">
        <v>29</v>
      </c>
      <c r="B54" s="2" t="s">
        <v>30</v>
      </c>
      <c r="C54" s="2" t="n">
        <v>2004</v>
      </c>
      <c r="D54" s="3" t="n">
        <v>877019</v>
      </c>
      <c r="E54" s="3" t="n">
        <v>14500</v>
      </c>
      <c r="F54" s="3" t="n">
        <v>14786243</v>
      </c>
      <c r="G54" s="3" t="n">
        <v>37172411</v>
      </c>
      <c r="H54" s="4" t="n">
        <f aca="false">F54+G54</f>
        <v>51958654</v>
      </c>
      <c r="I54" s="5" t="n">
        <f aca="false">H54/D54</f>
        <v>59.2446161371647</v>
      </c>
      <c r="J54" s="6" t="n">
        <f aca="false">H54/VLOOKUP(C54,Referencia_Mundial!$A:$B,2,FALSE())*100</f>
        <v>34.629444378882</v>
      </c>
      <c r="K54" s="2" t="s">
        <v>31</v>
      </c>
      <c r="L54" s="2" t="s">
        <v>32</v>
      </c>
      <c r="M54" s="7" t="str">
        <f aca="false">IF(F54&gt;=G54,"Captura silvestre","Acuicultura")</f>
        <v>Acuicultura</v>
      </c>
      <c r="N54" s="6" t="n">
        <f aca="false">(H54-H53)/H53*100</f>
        <v>4.98680861940589</v>
      </c>
      <c r="O54" s="8" t="s">
        <v>19</v>
      </c>
    </row>
    <row r="55" customFormat="false" ht="15" hidden="false" customHeight="false" outlineLevel="0" collapsed="false">
      <c r="A55" s="2" t="s">
        <v>29</v>
      </c>
      <c r="B55" s="2" t="s">
        <v>30</v>
      </c>
      <c r="C55" s="2" t="n">
        <v>2005</v>
      </c>
      <c r="D55" s="3" t="n">
        <v>877019</v>
      </c>
      <c r="E55" s="3" t="n">
        <v>14500</v>
      </c>
      <c r="F55" s="3" t="n">
        <v>14850730</v>
      </c>
      <c r="G55" s="3" t="n">
        <v>38943267</v>
      </c>
      <c r="H55" s="4" t="n">
        <f aca="false">F55+G55</f>
        <v>53793997</v>
      </c>
      <c r="I55" s="5" t="n">
        <f aca="false">H55/D55</f>
        <v>61.33732222449</v>
      </c>
      <c r="J55" s="6" t="n">
        <f aca="false">H55/VLOOKUP(C55,Referencia_Mundial!$A:$B,2,FALSE())*100</f>
        <v>35.1758735953839</v>
      </c>
      <c r="K55" s="2" t="s">
        <v>31</v>
      </c>
      <c r="L55" s="2" t="s">
        <v>32</v>
      </c>
      <c r="M55" s="7" t="str">
        <f aca="false">IF(F55&gt;=G55,"Captura silvestre","Acuicultura")</f>
        <v>Acuicultura</v>
      </c>
      <c r="N55" s="6" t="n">
        <f aca="false">(H55-H54)/H54*100</f>
        <v>3.53231436672705</v>
      </c>
      <c r="O55" s="8" t="s">
        <v>19</v>
      </c>
    </row>
    <row r="56" customFormat="false" ht="15" hidden="false" customHeight="false" outlineLevel="0" collapsed="false">
      <c r="A56" s="2" t="s">
        <v>29</v>
      </c>
      <c r="B56" s="2" t="s">
        <v>30</v>
      </c>
      <c r="C56" s="2" t="n">
        <v>2006</v>
      </c>
      <c r="D56" s="3" t="n">
        <v>877019</v>
      </c>
      <c r="E56" s="3" t="n">
        <v>14500</v>
      </c>
      <c r="F56" s="3" t="n">
        <v>14995706</v>
      </c>
      <c r="G56" s="3" t="n">
        <v>40911091.5</v>
      </c>
      <c r="H56" s="4" t="n">
        <f aca="false">F56+G56</f>
        <v>55906797.5</v>
      </c>
      <c r="I56" s="5" t="n">
        <f aca="false">H56/D56</f>
        <v>63.7463926095102</v>
      </c>
      <c r="J56" s="6" t="n">
        <f aca="false">H56/VLOOKUP(C56,Referencia_Mundial!$A:$B,2,FALSE())*100</f>
        <v>36.2397352690422</v>
      </c>
      <c r="K56" s="2" t="s">
        <v>31</v>
      </c>
      <c r="L56" s="2" t="s">
        <v>32</v>
      </c>
      <c r="M56" s="7" t="str">
        <f aca="false">IF(F56&gt;=G56,"Captura silvestre","Acuicultura")</f>
        <v>Acuicultura</v>
      </c>
      <c r="N56" s="6" t="n">
        <f aca="false">(H56-H55)/H55*100</f>
        <v>3.92757671455423</v>
      </c>
      <c r="O56" s="8" t="s">
        <v>19</v>
      </c>
    </row>
    <row r="57" customFormat="false" ht="15" hidden="false" customHeight="false" outlineLevel="0" collapsed="false">
      <c r="A57" s="2" t="s">
        <v>29</v>
      </c>
      <c r="B57" s="2" t="s">
        <v>30</v>
      </c>
      <c r="C57" s="2" t="n">
        <v>2007</v>
      </c>
      <c r="D57" s="3" t="n">
        <v>877019</v>
      </c>
      <c r="E57" s="3" t="n">
        <v>14500</v>
      </c>
      <c r="F57" s="3" t="n">
        <v>14987636</v>
      </c>
      <c r="G57" s="3" t="n">
        <v>42530160.3</v>
      </c>
      <c r="H57" s="4" t="n">
        <f aca="false">F57+G57</f>
        <v>57517796.3</v>
      </c>
      <c r="I57" s="5" t="n">
        <f aca="false">H57/D57</f>
        <v>65.5832955728439</v>
      </c>
      <c r="J57" s="6" t="n">
        <f aca="false">H57/VLOOKUP(C57,Referencia_Mundial!$A:$B,2,FALSE())*100</f>
        <v>36.4049540294974</v>
      </c>
      <c r="K57" s="2" t="s">
        <v>31</v>
      </c>
      <c r="L57" s="2" t="s">
        <v>32</v>
      </c>
      <c r="M57" s="7" t="str">
        <f aca="false">IF(F57&gt;=G57,"Captura silvestre","Acuicultura")</f>
        <v>Acuicultura</v>
      </c>
      <c r="N57" s="6" t="n">
        <f aca="false">(H57-H56)/H56*100</f>
        <v>2.8815794716197</v>
      </c>
      <c r="O57" s="8" t="s">
        <v>19</v>
      </c>
    </row>
    <row r="58" customFormat="false" ht="15" hidden="false" customHeight="false" outlineLevel="0" collapsed="false">
      <c r="A58" s="2" t="s">
        <v>29</v>
      </c>
      <c r="B58" s="2" t="s">
        <v>30</v>
      </c>
      <c r="C58" s="2" t="n">
        <v>2008</v>
      </c>
      <c r="D58" s="3" t="n">
        <v>877019</v>
      </c>
      <c r="E58" s="3" t="n">
        <v>14500</v>
      </c>
      <c r="F58" s="3" t="n">
        <v>15157263</v>
      </c>
      <c r="G58" s="3" t="n">
        <v>44072886.7</v>
      </c>
      <c r="H58" s="4" t="n">
        <f aca="false">F58+G58</f>
        <v>59230149.7</v>
      </c>
      <c r="I58" s="5" t="n">
        <f aca="false">H58/D58</f>
        <v>67.5357657017693</v>
      </c>
      <c r="J58" s="6" t="n">
        <f aca="false">H58/VLOOKUP(C58,Referencia_Mundial!$A:$B,2,FALSE())*100</f>
        <v>36.7883136429208</v>
      </c>
      <c r="K58" s="2" t="s">
        <v>31</v>
      </c>
      <c r="L58" s="2" t="s">
        <v>32</v>
      </c>
      <c r="M58" s="7" t="str">
        <f aca="false">IF(F58&gt;=G58,"Captura silvestre","Acuicultura")</f>
        <v>Acuicultura</v>
      </c>
      <c r="N58" s="6" t="n">
        <f aca="false">(H58-H57)/H57*100</f>
        <v>2.9770845028011</v>
      </c>
      <c r="O58" s="8" t="s">
        <v>19</v>
      </c>
    </row>
    <row r="59" customFormat="false" ht="15" hidden="false" customHeight="false" outlineLevel="0" collapsed="false">
      <c r="A59" s="2" t="s">
        <v>29</v>
      </c>
      <c r="B59" s="2" t="s">
        <v>30</v>
      </c>
      <c r="C59" s="2" t="n">
        <v>2009</v>
      </c>
      <c r="D59" s="3" t="n">
        <v>877019</v>
      </c>
      <c r="E59" s="3" t="n">
        <v>14500</v>
      </c>
      <c r="F59" s="3" t="n">
        <v>15062980</v>
      </c>
      <c r="G59" s="3" t="n">
        <v>46062875.7</v>
      </c>
      <c r="H59" s="4" t="n">
        <f aca="false">F59+G59</f>
        <v>61125855.7</v>
      </c>
      <c r="I59" s="5" t="n">
        <f aca="false">H59/D59</f>
        <v>69.6972992603353</v>
      </c>
      <c r="J59" s="6" t="n">
        <f aca="false">H59/VLOOKUP(C59,Referencia_Mundial!$A:$B,2,FALSE())*100</f>
        <v>37.2648435797287</v>
      </c>
      <c r="K59" s="2" t="s">
        <v>31</v>
      </c>
      <c r="L59" s="2" t="s">
        <v>32</v>
      </c>
      <c r="M59" s="7" t="str">
        <f aca="false">IF(F59&gt;=G59,"Captura silvestre","Acuicultura")</f>
        <v>Acuicultura</v>
      </c>
      <c r="N59" s="6" t="n">
        <f aca="false">(H59-H58)/H58*100</f>
        <v>3.20057607418136</v>
      </c>
      <c r="O59" s="8" t="s">
        <v>19</v>
      </c>
    </row>
    <row r="60" customFormat="false" ht="15" hidden="false" customHeight="false" outlineLevel="0" collapsed="false">
      <c r="A60" s="2" t="s">
        <v>29</v>
      </c>
      <c r="B60" s="2" t="s">
        <v>30</v>
      </c>
      <c r="C60" s="2" t="n">
        <v>2010</v>
      </c>
      <c r="D60" s="3" t="n">
        <v>877019</v>
      </c>
      <c r="E60" s="3" t="n">
        <v>14500</v>
      </c>
      <c r="F60" s="3" t="n">
        <v>15054057</v>
      </c>
      <c r="G60" s="3" t="n">
        <v>47789756.8</v>
      </c>
      <c r="H60" s="4" t="n">
        <f aca="false">F60+G60</f>
        <v>62843813.8</v>
      </c>
      <c r="I60" s="5" t="n">
        <f aca="false">H60/D60</f>
        <v>71.6561600147773</v>
      </c>
      <c r="J60" s="6" t="n">
        <f aca="false">H60/VLOOKUP(C60,Referencia_Mundial!$A:$B,2,FALSE())*100</f>
        <v>37.7885719794904</v>
      </c>
      <c r="K60" s="2" t="s">
        <v>31</v>
      </c>
      <c r="L60" s="2" t="s">
        <v>32</v>
      </c>
      <c r="M60" s="7" t="str">
        <f aca="false">IF(F60&gt;=G60,"Captura silvestre","Acuicultura")</f>
        <v>Acuicultura</v>
      </c>
      <c r="N60" s="6" t="n">
        <f aca="false">(H60-H59)/H59*100</f>
        <v>2.81052605370724</v>
      </c>
      <c r="O60" s="8" t="s">
        <v>19</v>
      </c>
    </row>
    <row r="61" customFormat="false" ht="15" hidden="false" customHeight="false" outlineLevel="0" collapsed="false">
      <c r="A61" s="2" t="s">
        <v>29</v>
      </c>
      <c r="B61" s="2" t="s">
        <v>30</v>
      </c>
      <c r="C61" s="2" t="n">
        <v>2011</v>
      </c>
      <c r="D61" s="3" t="n">
        <v>877019</v>
      </c>
      <c r="E61" s="3" t="n">
        <v>14500</v>
      </c>
      <c r="F61" s="3" t="n">
        <v>15263615.2</v>
      </c>
      <c r="G61" s="3" t="n">
        <v>49147606.1</v>
      </c>
      <c r="H61" s="4" t="n">
        <f aca="false">F61+G61</f>
        <v>64411221.3</v>
      </c>
      <c r="I61" s="5" t="n">
        <f aca="false">H61/D61</f>
        <v>73.4433590378316</v>
      </c>
      <c r="J61" s="6" t="n">
        <f aca="false">H61/VLOOKUP(C61,Referencia_Mundial!$A:$B,2,FALSE())*100</f>
        <v>36.9389047845541</v>
      </c>
      <c r="K61" s="2" t="s">
        <v>31</v>
      </c>
      <c r="L61" s="2" t="s">
        <v>32</v>
      </c>
      <c r="M61" s="7" t="str">
        <f aca="false">IF(F61&gt;=G61,"Captura silvestre","Acuicultura")</f>
        <v>Acuicultura</v>
      </c>
      <c r="N61" s="6" t="n">
        <f aca="false">(H61-H60)/H60*100</f>
        <v>2.4941317294782</v>
      </c>
      <c r="O61" s="8" t="s">
        <v>19</v>
      </c>
    </row>
    <row r="62" customFormat="false" ht="15" hidden="false" customHeight="false" outlineLevel="0" collapsed="false">
      <c r="A62" s="2" t="s">
        <v>29</v>
      </c>
      <c r="B62" s="2" t="s">
        <v>30</v>
      </c>
      <c r="C62" s="2" t="n">
        <v>2012</v>
      </c>
      <c r="D62" s="3" t="n">
        <v>877019</v>
      </c>
      <c r="E62" s="3" t="n">
        <v>14500</v>
      </c>
      <c r="F62" s="3" t="n">
        <v>15446318.2</v>
      </c>
      <c r="G62" s="3" t="n">
        <v>52082585.7</v>
      </c>
      <c r="H62" s="4" t="n">
        <f aca="false">F62+G62</f>
        <v>67528903.9</v>
      </c>
      <c r="I62" s="5" t="n">
        <f aca="false">H62/D62</f>
        <v>76.9982222734057</v>
      </c>
      <c r="J62" s="6" t="n">
        <f aca="false">H62/VLOOKUP(C62,Referencia_Mundial!$A:$B,2,FALSE())*100</f>
        <v>37.9224296851222</v>
      </c>
      <c r="K62" s="2" t="s">
        <v>31</v>
      </c>
      <c r="L62" s="2" t="s">
        <v>32</v>
      </c>
      <c r="M62" s="7" t="str">
        <f aca="false">IF(F62&gt;=G62,"Captura silvestre","Acuicultura")</f>
        <v>Acuicultura</v>
      </c>
      <c r="N62" s="6" t="n">
        <f aca="false">(H62-H61)/H61*100</f>
        <v>4.84027866119658</v>
      </c>
      <c r="O62" s="8" t="s">
        <v>19</v>
      </c>
    </row>
    <row r="63" customFormat="false" ht="15" hidden="false" customHeight="false" outlineLevel="0" collapsed="false">
      <c r="A63" s="2" t="s">
        <v>29</v>
      </c>
      <c r="B63" s="2" t="s">
        <v>30</v>
      </c>
      <c r="C63" s="2" t="n">
        <v>2013</v>
      </c>
      <c r="D63" s="3" t="n">
        <v>877019</v>
      </c>
      <c r="E63" s="3" t="n">
        <v>14500</v>
      </c>
      <c r="F63" s="3" t="n">
        <v>15633567.4</v>
      </c>
      <c r="G63" s="3" t="n">
        <v>55029057.8</v>
      </c>
      <c r="H63" s="4" t="n">
        <f aca="false">F63+G63</f>
        <v>70662625.2</v>
      </c>
      <c r="I63" s="5" t="n">
        <f aca="false">H63/D63</f>
        <v>80.5713732541712</v>
      </c>
      <c r="J63" s="6" t="n">
        <f aca="false">H63/VLOOKUP(C63,Referencia_Mundial!$A:$B,2,FALSE())*100</f>
        <v>37.9886530650392</v>
      </c>
      <c r="K63" s="2" t="s">
        <v>31</v>
      </c>
      <c r="L63" s="2" t="s">
        <v>32</v>
      </c>
      <c r="M63" s="7" t="str">
        <f aca="false">IF(F63&gt;=G63,"Captura silvestre","Acuicultura")</f>
        <v>Acuicultura</v>
      </c>
      <c r="N63" s="6" t="n">
        <f aca="false">(H63-H62)/H62*100</f>
        <v>4.64056295751603</v>
      </c>
      <c r="O63" s="8" t="s">
        <v>19</v>
      </c>
    </row>
    <row r="64" customFormat="false" ht="15" hidden="false" customHeight="false" outlineLevel="0" collapsed="false">
      <c r="A64" s="2" t="s">
        <v>29</v>
      </c>
      <c r="B64" s="2" t="s">
        <v>30</v>
      </c>
      <c r="C64" s="2" t="n">
        <v>2014</v>
      </c>
      <c r="D64" s="3" t="n">
        <v>877019</v>
      </c>
      <c r="E64" s="3" t="n">
        <v>14500</v>
      </c>
      <c r="F64" s="3" t="n">
        <v>16363366.4</v>
      </c>
      <c r="G64" s="3" t="n">
        <v>57320503.7</v>
      </c>
      <c r="H64" s="4" t="n">
        <f aca="false">F64+G64</f>
        <v>73683870.1</v>
      </c>
      <c r="I64" s="5" t="n">
        <f aca="false">H64/D64</f>
        <v>84.0162757021228</v>
      </c>
      <c r="J64" s="6" t="n">
        <f aca="false">H64/VLOOKUP(C64,Referencia_Mundial!$A:$B,2,FALSE())*100</f>
        <v>38.5459647080283</v>
      </c>
      <c r="K64" s="2" t="s">
        <v>31</v>
      </c>
      <c r="L64" s="2" t="s">
        <v>32</v>
      </c>
      <c r="M64" s="7" t="str">
        <f aca="false">IF(F64&gt;=G64,"Captura silvestre","Acuicultura")</f>
        <v>Acuicultura</v>
      </c>
      <c r="N64" s="6" t="n">
        <f aca="false">(H64-H63)/H63*100</f>
        <v>4.2755910800778</v>
      </c>
      <c r="O64" s="8" t="s">
        <v>19</v>
      </c>
    </row>
    <row r="65" customFormat="false" ht="15" hidden="false" customHeight="false" outlineLevel="0" collapsed="false">
      <c r="A65" s="2" t="s">
        <v>29</v>
      </c>
      <c r="B65" s="2" t="s">
        <v>30</v>
      </c>
      <c r="C65" s="2" t="n">
        <v>2015</v>
      </c>
      <c r="D65" s="3" t="n">
        <v>877019</v>
      </c>
      <c r="E65" s="3" t="n">
        <v>14500</v>
      </c>
      <c r="F65" s="3" t="n">
        <v>16647934.7</v>
      </c>
      <c r="G65" s="3" t="n">
        <v>59368941.6</v>
      </c>
      <c r="H65" s="4" t="n">
        <f aca="false">F65+G65</f>
        <v>76016876.3</v>
      </c>
      <c r="I65" s="5" t="n">
        <f aca="false">H65/D65</f>
        <v>86.6764303852026</v>
      </c>
      <c r="J65" s="6" t="n">
        <f aca="false">H65/VLOOKUP(C65,Referencia_Mundial!$A:$B,2,FALSE())*100</f>
        <v>38.6327653048999</v>
      </c>
      <c r="K65" s="2" t="s">
        <v>31</v>
      </c>
      <c r="L65" s="2" t="s">
        <v>32</v>
      </c>
      <c r="M65" s="7" t="str">
        <f aca="false">IF(F65&gt;=G65,"Captura silvestre","Acuicultura")</f>
        <v>Acuicultura</v>
      </c>
      <c r="N65" s="6" t="n">
        <f aca="false">(H65-H64)/H64*100</f>
        <v>3.1662373282426</v>
      </c>
      <c r="O65" s="8" t="s">
        <v>19</v>
      </c>
    </row>
    <row r="66" customFormat="false" ht="15" hidden="false" customHeight="false" outlineLevel="0" collapsed="false">
      <c r="A66" s="2" t="s">
        <v>29</v>
      </c>
      <c r="B66" s="2" t="s">
        <v>30</v>
      </c>
      <c r="C66" s="2" t="n">
        <v>2016</v>
      </c>
      <c r="D66" s="3" t="n">
        <v>877019</v>
      </c>
      <c r="E66" s="3" t="n">
        <v>14500</v>
      </c>
      <c r="F66" s="3" t="n">
        <v>16019261.6</v>
      </c>
      <c r="G66" s="3" t="n">
        <v>62318377.9</v>
      </c>
      <c r="H66" s="4" t="n">
        <f aca="false">F66+G66</f>
        <v>78337639.5</v>
      </c>
      <c r="I66" s="5" t="n">
        <f aca="false">H66/D66</f>
        <v>89.3226252794979</v>
      </c>
      <c r="J66" s="6" t="n">
        <f aca="false">H66/VLOOKUP(C66,Referencia_Mundial!$A:$B,2,FALSE())*100</f>
        <v>39.3719941054649</v>
      </c>
      <c r="K66" s="2" t="s">
        <v>31</v>
      </c>
      <c r="L66" s="2" t="s">
        <v>32</v>
      </c>
      <c r="M66" s="7" t="str">
        <f aca="false">IF(F66&gt;=G66,"Captura silvestre","Acuicultura")</f>
        <v>Acuicultura</v>
      </c>
      <c r="N66" s="6" t="n">
        <f aca="false">(H66-H65)/H65*100</f>
        <v>3.05295786009561</v>
      </c>
      <c r="O66" s="8" t="s">
        <v>19</v>
      </c>
    </row>
    <row r="67" customFormat="false" ht="15" hidden="false" customHeight="false" outlineLevel="0" collapsed="false">
      <c r="A67" s="2" t="s">
        <v>29</v>
      </c>
      <c r="B67" s="2" t="s">
        <v>30</v>
      </c>
      <c r="C67" s="2" t="n">
        <v>2017</v>
      </c>
      <c r="D67" s="3" t="n">
        <v>877019</v>
      </c>
      <c r="E67" s="3" t="n">
        <v>14500</v>
      </c>
      <c r="F67" s="3" t="n">
        <v>15576685.3</v>
      </c>
      <c r="G67" s="3" t="n">
        <v>64358480.8</v>
      </c>
      <c r="H67" s="4" t="n">
        <f aca="false">F67+G67</f>
        <v>79935166.1</v>
      </c>
      <c r="I67" s="5" t="n">
        <f aca="false">H67/D67</f>
        <v>91.1441668880606</v>
      </c>
      <c r="J67" s="6" t="n">
        <f aca="false">H67/VLOOKUP(C67,Referencia_Mundial!$A:$B,2,FALSE())*100</f>
        <v>38.6766905282282</v>
      </c>
      <c r="K67" s="2" t="s">
        <v>31</v>
      </c>
      <c r="L67" s="2" t="s">
        <v>32</v>
      </c>
      <c r="M67" s="7" t="str">
        <f aca="false">IF(F67&gt;=G67,"Captura silvestre","Acuicultura")</f>
        <v>Acuicultura</v>
      </c>
      <c r="N67" s="6" t="n">
        <f aca="false">(H67-H66)/H66*100</f>
        <v>2.03928355538463</v>
      </c>
      <c r="O67" s="8" t="s">
        <v>19</v>
      </c>
    </row>
    <row r="68" customFormat="false" ht="15" hidden="false" customHeight="false" outlineLevel="0" collapsed="false">
      <c r="A68" s="2" t="s">
        <v>29</v>
      </c>
      <c r="B68" s="2" t="s">
        <v>30</v>
      </c>
      <c r="C68" s="2" t="n">
        <v>2018</v>
      </c>
      <c r="D68" s="3" t="n">
        <v>877019</v>
      </c>
      <c r="E68" s="3" t="n">
        <v>14500</v>
      </c>
      <c r="F68" s="3" t="n">
        <v>14831109.1</v>
      </c>
      <c r="G68" s="3" t="n">
        <v>66135059.3</v>
      </c>
      <c r="H68" s="4" t="n">
        <f aca="false">F68+G68</f>
        <v>80966168.4</v>
      </c>
      <c r="I68" s="5" t="n">
        <f aca="false">H68/D68</f>
        <v>92.3197426737619</v>
      </c>
      <c r="J68" s="6" t="n">
        <f aca="false">H68/VLOOKUP(C68,Referencia_Mundial!$A:$B,2,FALSE())*100</f>
        <v>37.9501779481289</v>
      </c>
      <c r="K68" s="2" t="s">
        <v>31</v>
      </c>
      <c r="L68" s="2" t="s">
        <v>32</v>
      </c>
      <c r="M68" s="7" t="str">
        <f aca="false">IF(F68&gt;=G68,"Captura silvestre","Acuicultura")</f>
        <v>Acuicultura</v>
      </c>
      <c r="N68" s="6" t="n">
        <f aca="false">(H68-H67)/H67*100</f>
        <v>1.28979815805999</v>
      </c>
      <c r="O68" s="8" t="s">
        <v>19</v>
      </c>
    </row>
    <row r="69" customFormat="false" ht="15" hidden="false" customHeight="false" outlineLevel="0" collapsed="false">
      <c r="A69" s="2" t="s">
        <v>29</v>
      </c>
      <c r="B69" s="2" t="s">
        <v>30</v>
      </c>
      <c r="C69" s="2" t="n">
        <v>2019</v>
      </c>
      <c r="D69" s="3" t="n">
        <v>877019</v>
      </c>
      <c r="E69" s="3" t="n">
        <v>14500</v>
      </c>
      <c r="F69" s="3" t="n">
        <v>14169893.5</v>
      </c>
      <c r="G69" s="3" t="n">
        <v>68423859</v>
      </c>
      <c r="H69" s="4" t="n">
        <f aca="false">F69+G69</f>
        <v>82593752.5</v>
      </c>
      <c r="I69" s="5" t="n">
        <f aca="false">H69/D69</f>
        <v>94.175556629902</v>
      </c>
      <c r="J69" s="6" t="n">
        <f aca="false">H69/VLOOKUP(C69,Referencia_Mundial!$A:$B,2,FALSE())*100</f>
        <v>38.7442645747451</v>
      </c>
      <c r="K69" s="2" t="s">
        <v>31</v>
      </c>
      <c r="L69" s="2" t="s">
        <v>32</v>
      </c>
      <c r="M69" s="7" t="str">
        <f aca="false">IF(F69&gt;=G69,"Captura silvestre","Acuicultura")</f>
        <v>Acuicultura</v>
      </c>
      <c r="N69" s="6" t="n">
        <f aca="false">(H69-H68)/H68*100</f>
        <v>2.0102026959695</v>
      </c>
      <c r="O69" s="8" t="s">
        <v>19</v>
      </c>
    </row>
    <row r="70" customFormat="false" ht="15" hidden="false" customHeight="false" outlineLevel="0" collapsed="false">
      <c r="A70" s="2" t="s">
        <v>29</v>
      </c>
      <c r="B70" s="2" t="s">
        <v>30</v>
      </c>
      <c r="C70" s="2" t="n">
        <v>2020</v>
      </c>
      <c r="D70" s="3" t="n">
        <v>877019</v>
      </c>
      <c r="E70" s="3" t="n">
        <v>14500</v>
      </c>
      <c r="F70" s="3" t="n">
        <v>13445983</v>
      </c>
      <c r="G70" s="3" t="n">
        <v>70483538.5</v>
      </c>
      <c r="H70" s="4" t="n">
        <f aca="false">F70+G70</f>
        <v>83929521.5</v>
      </c>
      <c r="I70" s="5" t="n">
        <f aca="false">H70/D70</f>
        <v>95.6986353773407</v>
      </c>
      <c r="J70" s="6" t="n">
        <f aca="false">H70/VLOOKUP(C70,Referencia_Mundial!$A:$B,2,FALSE())*100</f>
        <v>39.3121856742635</v>
      </c>
      <c r="K70" s="2" t="s">
        <v>31</v>
      </c>
      <c r="L70" s="2" t="s">
        <v>32</v>
      </c>
      <c r="M70" s="7" t="str">
        <f aca="false">IF(F70&gt;=G70,"Captura silvestre","Acuicultura")</f>
        <v>Acuicultura</v>
      </c>
      <c r="N70" s="6" t="n">
        <f aca="false">(H70-H69)/H69*100</f>
        <v>1.61727607666209</v>
      </c>
      <c r="O70" s="8" t="s">
        <v>19</v>
      </c>
    </row>
    <row r="71" customFormat="false" ht="15" hidden="false" customHeight="false" outlineLevel="0" collapsed="false">
      <c r="A71" s="2" t="s">
        <v>29</v>
      </c>
      <c r="B71" s="2" t="s">
        <v>30</v>
      </c>
      <c r="C71" s="2" t="n">
        <v>2021</v>
      </c>
      <c r="D71" s="3" t="n">
        <v>877019</v>
      </c>
      <c r="E71" s="3" t="n">
        <v>14500</v>
      </c>
      <c r="F71" s="3" t="n">
        <v>13142837</v>
      </c>
      <c r="G71" s="3" t="n">
        <v>72805297</v>
      </c>
      <c r="H71" s="4" t="n">
        <f aca="false">F71+G71</f>
        <v>85948134</v>
      </c>
      <c r="I71" s="5" t="n">
        <f aca="false">H71/D71</f>
        <v>98.0003101415135</v>
      </c>
      <c r="J71" s="6" t="n">
        <f aca="false">H71/VLOOKUP(C71,Referencia_Mundial!$A:$B,2,FALSE())*100</f>
        <v>39.248134858851</v>
      </c>
      <c r="K71" s="2" t="s">
        <v>31</v>
      </c>
      <c r="L71" s="2" t="s">
        <v>32</v>
      </c>
      <c r="M71" s="7" t="str">
        <f aca="false">IF(F71&gt;=G71,"Captura silvestre","Acuicultura")</f>
        <v>Acuicultura</v>
      </c>
      <c r="N71" s="6" t="n">
        <f aca="false">(H71-H70)/H70*100</f>
        <v>2.40512809309892</v>
      </c>
      <c r="O71" s="8" t="s">
        <v>19</v>
      </c>
    </row>
    <row r="72" customFormat="false" ht="15" hidden="false" customHeight="false" outlineLevel="0" collapsed="false">
      <c r="A72" s="2" t="s">
        <v>29</v>
      </c>
      <c r="B72" s="2" t="s">
        <v>30</v>
      </c>
      <c r="C72" s="2" t="n">
        <v>2022</v>
      </c>
      <c r="D72" s="3" t="n">
        <v>877019</v>
      </c>
      <c r="E72" s="3" t="n">
        <v>14500</v>
      </c>
      <c r="F72" s="3" t="n">
        <v>13182662.6</v>
      </c>
      <c r="G72" s="3" t="n">
        <v>75434999</v>
      </c>
      <c r="H72" s="4" t="n">
        <f aca="false">F72+G72</f>
        <v>88617661.6</v>
      </c>
      <c r="I72" s="5" t="n">
        <f aca="false">H72/D72</f>
        <v>101.044175325734</v>
      </c>
      <c r="J72" s="6" t="n">
        <f aca="false">H72/VLOOKUP(C72,Referencia_Mundial!$A:$B,2,FALSE())*100</f>
        <v>39.7224004372313</v>
      </c>
      <c r="K72" s="2" t="s">
        <v>31</v>
      </c>
      <c r="L72" s="2" t="s">
        <v>32</v>
      </c>
      <c r="M72" s="7" t="str">
        <f aca="false">IF(F72&gt;=G72,"Captura silvestre","Acuicultura")</f>
        <v>Acuicultura</v>
      </c>
      <c r="N72" s="6" t="n">
        <f aca="false">(H72-H71)/H71*100</f>
        <v>3.10597505234959</v>
      </c>
      <c r="O72" s="8" t="s">
        <v>19</v>
      </c>
    </row>
    <row r="73" customFormat="false" ht="15" hidden="false" customHeight="false" outlineLevel="0" collapsed="false">
      <c r="A73" s="2" t="s">
        <v>29</v>
      </c>
      <c r="B73" s="2" t="s">
        <v>30</v>
      </c>
      <c r="C73" s="2" t="n">
        <v>2023</v>
      </c>
      <c r="D73" s="3" t="n">
        <v>877019</v>
      </c>
      <c r="E73" s="3" t="n">
        <v>14500</v>
      </c>
      <c r="F73" s="3" t="n">
        <v>13424705</v>
      </c>
      <c r="G73" s="3" t="n">
        <v>78276940.6</v>
      </c>
      <c r="H73" s="4" t="n">
        <f aca="false">F73+G73</f>
        <v>91701645.6</v>
      </c>
      <c r="I73" s="5" t="n">
        <f aca="false">H73/D73</f>
        <v>104.560614536287</v>
      </c>
      <c r="J73" s="6" t="n">
        <f aca="false">H73/VLOOKUP(C73,Referencia_Mundial!$A:$B,2,FALSE())*100</f>
        <v>40.2370669941038</v>
      </c>
      <c r="K73" s="2" t="s">
        <v>31</v>
      </c>
      <c r="L73" s="2" t="s">
        <v>32</v>
      </c>
      <c r="M73" s="7" t="str">
        <f aca="false">IF(F73&gt;=G73,"Captura silvestre","Acuicultura")</f>
        <v>Acuicultura</v>
      </c>
      <c r="N73" s="6" t="n">
        <f aca="false">(H73-H72)/H72*100</f>
        <v>3.48010085610293</v>
      </c>
      <c r="O73" s="8" t="s">
        <v>19</v>
      </c>
    </row>
    <row r="74" customFormat="false" ht="15" hidden="false" customHeight="false" outlineLevel="0" collapsed="false">
      <c r="A74" s="2" t="s">
        <v>33</v>
      </c>
      <c r="B74" s="2" t="s">
        <v>34</v>
      </c>
      <c r="C74" s="2" t="n">
        <v>2000</v>
      </c>
      <c r="D74" s="3" t="n">
        <v>758000</v>
      </c>
      <c r="E74" s="3" t="n">
        <v>4970</v>
      </c>
      <c r="F74" s="3" t="n">
        <v>2000046</v>
      </c>
      <c r="G74" s="3" t="n">
        <v>3623</v>
      </c>
      <c r="H74" s="4" t="n">
        <f aca="false">F74+G74</f>
        <v>2003669</v>
      </c>
      <c r="I74" s="5" t="n">
        <f aca="false">H74/D74</f>
        <v>2.64336279683377</v>
      </c>
      <c r="J74" s="6" t="n">
        <f aca="false">H74/VLOOKUP(C74,Referencia_Mundial!$A:$B,2,FALSE())*100</f>
        <v>1.45412536925585</v>
      </c>
      <c r="K74" s="2" t="s">
        <v>35</v>
      </c>
      <c r="L74" s="2" t="s">
        <v>26</v>
      </c>
      <c r="M74" s="7" t="str">
        <f aca="false">IF(F74&gt;=G74,"Captura silvestre","Acuicultura")</f>
        <v>Captura silvestre</v>
      </c>
      <c r="N74" s="6"/>
      <c r="O74" s="8" t="s">
        <v>19</v>
      </c>
    </row>
    <row r="75" customFormat="false" ht="15" hidden="false" customHeight="false" outlineLevel="0" collapsed="false">
      <c r="A75" s="2" t="s">
        <v>33</v>
      </c>
      <c r="B75" s="2" t="s">
        <v>34</v>
      </c>
      <c r="C75" s="2" t="n">
        <v>2001</v>
      </c>
      <c r="D75" s="3" t="n">
        <v>758000</v>
      </c>
      <c r="E75" s="3" t="n">
        <v>4970</v>
      </c>
      <c r="F75" s="3" t="n">
        <v>2003941</v>
      </c>
      <c r="G75" s="3" t="n">
        <v>4371</v>
      </c>
      <c r="H75" s="4" t="n">
        <f aca="false">F75+G75</f>
        <v>2008312</v>
      </c>
      <c r="I75" s="5" t="n">
        <f aca="false">H75/D75</f>
        <v>2.64948812664908</v>
      </c>
      <c r="J75" s="6" t="n">
        <f aca="false">H75/VLOOKUP(C75,Referencia_Mundial!$A:$B,2,FALSE())*100</f>
        <v>1.46010020625682</v>
      </c>
      <c r="K75" s="2" t="s">
        <v>35</v>
      </c>
      <c r="L75" s="2" t="s">
        <v>26</v>
      </c>
      <c r="M75" s="7" t="str">
        <f aca="false">IF(F75&gt;=G75,"Captura silvestre","Acuicultura")</f>
        <v>Captura silvestre</v>
      </c>
      <c r="N75" s="6" t="n">
        <f aca="false">(H75-H74)/H74*100</f>
        <v>0.231724900669721</v>
      </c>
      <c r="O75" s="8" t="s">
        <v>19</v>
      </c>
    </row>
    <row r="76" customFormat="false" ht="15" hidden="false" customHeight="false" outlineLevel="0" collapsed="false">
      <c r="A76" s="2" t="s">
        <v>33</v>
      </c>
      <c r="B76" s="2" t="s">
        <v>34</v>
      </c>
      <c r="C76" s="2" t="n">
        <v>2002</v>
      </c>
      <c r="D76" s="3" t="n">
        <v>758000</v>
      </c>
      <c r="E76" s="3" t="n">
        <v>4970</v>
      </c>
      <c r="F76" s="3" t="n">
        <v>2149508</v>
      </c>
      <c r="G76" s="3" t="n">
        <v>3585</v>
      </c>
      <c r="H76" s="4" t="n">
        <f aca="false">F76+G76</f>
        <v>2153093</v>
      </c>
      <c r="I76" s="5" t="n">
        <f aca="false">H76/D76</f>
        <v>2.84049208443272</v>
      </c>
      <c r="J76" s="6" t="n">
        <f aca="false">H76/VLOOKUP(C76,Referencia_Mundial!$A:$B,2,FALSE())*100</f>
        <v>1.52681507450558</v>
      </c>
      <c r="K76" s="2" t="s">
        <v>35</v>
      </c>
      <c r="L76" s="2" t="s">
        <v>26</v>
      </c>
      <c r="M76" s="7" t="str">
        <f aca="false">IF(F76&gt;=G76,"Captura silvestre","Acuicultura")</f>
        <v>Captura silvestre</v>
      </c>
      <c r="N76" s="6" t="n">
        <f aca="false">(H76-H75)/H75*100</f>
        <v>7.20908902600791</v>
      </c>
      <c r="O76" s="8" t="s">
        <v>19</v>
      </c>
    </row>
    <row r="77" customFormat="false" ht="15" hidden="false" customHeight="false" outlineLevel="0" collapsed="false">
      <c r="A77" s="2" t="s">
        <v>33</v>
      </c>
      <c r="B77" s="2" t="s">
        <v>34</v>
      </c>
      <c r="C77" s="2" t="n">
        <v>2003</v>
      </c>
      <c r="D77" s="3" t="n">
        <v>758000</v>
      </c>
      <c r="E77" s="3" t="n">
        <v>4970</v>
      </c>
      <c r="F77" s="3" t="n">
        <v>2008658</v>
      </c>
      <c r="G77" s="3" t="n">
        <v>6214</v>
      </c>
      <c r="H77" s="4" t="n">
        <f aca="false">F77+G77</f>
        <v>2014872</v>
      </c>
      <c r="I77" s="5" t="n">
        <f aca="false">H77/D77</f>
        <v>2.65814248021108</v>
      </c>
      <c r="J77" s="6" t="n">
        <f aca="false">H77/VLOOKUP(C77,Referencia_Mundial!$A:$B,2,FALSE())*100</f>
        <v>1.42757900891463</v>
      </c>
      <c r="K77" s="2" t="s">
        <v>35</v>
      </c>
      <c r="L77" s="2" t="s">
        <v>26</v>
      </c>
      <c r="M77" s="7" t="str">
        <f aca="false">IF(F77&gt;=G77,"Captura silvestre","Acuicultura")</f>
        <v>Captura silvestre</v>
      </c>
      <c r="N77" s="6" t="n">
        <f aca="false">(H77-H76)/H76*100</f>
        <v>-6.41964838490488</v>
      </c>
      <c r="O77" s="8" t="s">
        <v>19</v>
      </c>
    </row>
    <row r="78" customFormat="false" ht="15" hidden="false" customHeight="false" outlineLevel="0" collapsed="false">
      <c r="A78" s="2" t="s">
        <v>33</v>
      </c>
      <c r="B78" s="2" t="s">
        <v>34</v>
      </c>
      <c r="C78" s="2" t="n">
        <v>2004</v>
      </c>
      <c r="D78" s="3" t="n">
        <v>758000</v>
      </c>
      <c r="E78" s="3" t="n">
        <v>4970</v>
      </c>
      <c r="F78" s="3" t="n">
        <v>1755172</v>
      </c>
      <c r="G78" s="3" t="n">
        <v>8868</v>
      </c>
      <c r="H78" s="4" t="n">
        <f aca="false">F78+G78</f>
        <v>1764040</v>
      </c>
      <c r="I78" s="5" t="n">
        <f aca="false">H78/D78</f>
        <v>2.32722955145119</v>
      </c>
      <c r="J78" s="6" t="n">
        <f aca="false">H78/VLOOKUP(C78,Referencia_Mundial!$A:$B,2,FALSE())*100</f>
        <v>1.17569875967385</v>
      </c>
      <c r="K78" s="2" t="s">
        <v>35</v>
      </c>
      <c r="L78" s="2" t="s">
        <v>26</v>
      </c>
      <c r="M78" s="7" t="str">
        <f aca="false">IF(F78&gt;=G78,"Captura silvestre","Acuicultura")</f>
        <v>Captura silvestre</v>
      </c>
      <c r="N78" s="6" t="n">
        <f aca="false">(H78-H77)/H77*100</f>
        <v>-12.4490290202058</v>
      </c>
      <c r="O78" s="8" t="s">
        <v>19</v>
      </c>
    </row>
    <row r="79" customFormat="false" ht="15" hidden="false" customHeight="false" outlineLevel="0" collapsed="false">
      <c r="A79" s="2" t="s">
        <v>33</v>
      </c>
      <c r="B79" s="2" t="s">
        <v>34</v>
      </c>
      <c r="C79" s="2" t="n">
        <v>2005</v>
      </c>
      <c r="D79" s="3" t="n">
        <v>758000</v>
      </c>
      <c r="E79" s="3" t="n">
        <v>4970</v>
      </c>
      <c r="F79" s="3" t="n">
        <v>1685753</v>
      </c>
      <c r="G79" s="3" t="n">
        <v>8256</v>
      </c>
      <c r="H79" s="4" t="n">
        <f aca="false">F79+G79</f>
        <v>1694009</v>
      </c>
      <c r="I79" s="5" t="n">
        <f aca="false">H79/D79</f>
        <v>2.23484036939314</v>
      </c>
      <c r="J79" s="6" t="n">
        <f aca="false">H79/VLOOKUP(C79,Referencia_Mundial!$A:$B,2,FALSE())*100</f>
        <v>1.10771182244448</v>
      </c>
      <c r="K79" s="2" t="s">
        <v>35</v>
      </c>
      <c r="L79" s="2" t="s">
        <v>26</v>
      </c>
      <c r="M79" s="7" t="str">
        <f aca="false">IF(F79&gt;=G79,"Captura silvestre","Acuicultura")</f>
        <v>Captura silvestre</v>
      </c>
      <c r="N79" s="6" t="n">
        <f aca="false">(H79-H78)/H78*100</f>
        <v>-3.96992131697694</v>
      </c>
      <c r="O79" s="8" t="s">
        <v>19</v>
      </c>
    </row>
    <row r="80" customFormat="false" ht="15" hidden="false" customHeight="false" outlineLevel="0" collapsed="false">
      <c r="A80" s="2" t="s">
        <v>33</v>
      </c>
      <c r="B80" s="2" t="s">
        <v>34</v>
      </c>
      <c r="C80" s="2" t="n">
        <v>2006</v>
      </c>
      <c r="D80" s="3" t="n">
        <v>758000</v>
      </c>
      <c r="E80" s="3" t="n">
        <v>4970</v>
      </c>
      <c r="F80" s="3" t="n">
        <v>1348043</v>
      </c>
      <c r="G80" s="3" t="n">
        <v>8241</v>
      </c>
      <c r="H80" s="4" t="n">
        <f aca="false">F80+G80</f>
        <v>1356284</v>
      </c>
      <c r="I80" s="5" t="n">
        <f aca="false">H80/D80</f>
        <v>1.78929287598945</v>
      </c>
      <c r="J80" s="6" t="n">
        <f aca="false">H80/VLOOKUP(C80,Referencia_Mundial!$A:$B,2,FALSE())*100</f>
        <v>0.879166314429613</v>
      </c>
      <c r="K80" s="2" t="s">
        <v>36</v>
      </c>
      <c r="L80" s="2" t="s">
        <v>21</v>
      </c>
      <c r="M80" s="7" t="str">
        <f aca="false">IF(F80&gt;=G80,"Captura silvestre","Acuicultura")</f>
        <v>Captura silvestre</v>
      </c>
      <c r="N80" s="6" t="n">
        <f aca="false">(H80-H79)/H79*100</f>
        <v>-19.9364348123298</v>
      </c>
      <c r="O80" s="8" t="s">
        <v>19</v>
      </c>
    </row>
    <row r="81" customFormat="false" ht="15" hidden="false" customHeight="false" outlineLevel="0" collapsed="false">
      <c r="A81" s="2" t="s">
        <v>33</v>
      </c>
      <c r="B81" s="2" t="s">
        <v>34</v>
      </c>
      <c r="C81" s="2" t="n">
        <v>2007</v>
      </c>
      <c r="D81" s="3" t="n">
        <v>758000</v>
      </c>
      <c r="E81" s="3" t="n">
        <v>4970</v>
      </c>
      <c r="F81" s="3" t="n">
        <v>1421057</v>
      </c>
      <c r="G81" s="3" t="n">
        <v>4823</v>
      </c>
      <c r="H81" s="4" t="n">
        <f aca="false">F81+G81</f>
        <v>1425880</v>
      </c>
      <c r="I81" s="5" t="n">
        <f aca="false">H81/D81</f>
        <v>1.88110817941953</v>
      </c>
      <c r="J81" s="6" t="n">
        <f aca="false">H81/VLOOKUP(C81,Referencia_Mundial!$A:$B,2,FALSE())*100</f>
        <v>0.902487563689568</v>
      </c>
      <c r="K81" s="2" t="s">
        <v>37</v>
      </c>
      <c r="L81" s="2" t="s">
        <v>24</v>
      </c>
      <c r="M81" s="7" t="str">
        <f aca="false">IF(F81&gt;=G81,"Captura silvestre","Acuicultura")</f>
        <v>Captura silvestre</v>
      </c>
      <c r="N81" s="6" t="n">
        <f aca="false">(H81-H80)/H80*100</f>
        <v>5.13137366510259</v>
      </c>
      <c r="O81" s="8" t="s">
        <v>19</v>
      </c>
    </row>
    <row r="82" customFormat="false" ht="15" hidden="false" customHeight="false" outlineLevel="0" collapsed="false">
      <c r="A82" s="2" t="s">
        <v>33</v>
      </c>
      <c r="B82" s="2" t="s">
        <v>34</v>
      </c>
      <c r="C82" s="2" t="n">
        <v>2008</v>
      </c>
      <c r="D82" s="3" t="n">
        <v>758000</v>
      </c>
      <c r="E82" s="3" t="n">
        <v>4970</v>
      </c>
      <c r="F82" s="3" t="n">
        <v>1306593</v>
      </c>
      <c r="G82" s="3" t="n">
        <v>5098</v>
      </c>
      <c r="H82" s="4" t="n">
        <f aca="false">F82+G82</f>
        <v>1311691</v>
      </c>
      <c r="I82" s="5" t="n">
        <f aca="false">H82/D82</f>
        <v>1.73046306068602</v>
      </c>
      <c r="J82" s="6" t="n">
        <f aca="false">H82/VLOOKUP(C82,Referencia_Mundial!$A:$B,2,FALSE())*100</f>
        <v>0.81470163683541</v>
      </c>
      <c r="K82" s="2" t="s">
        <v>37</v>
      </c>
      <c r="L82" s="2" t="s">
        <v>24</v>
      </c>
      <c r="M82" s="7" t="str">
        <f aca="false">IF(F82&gt;=G82,"Captura silvestre","Acuicultura")</f>
        <v>Captura silvestre</v>
      </c>
      <c r="N82" s="6" t="n">
        <f aca="false">(H82-H81)/H81*100</f>
        <v>-8.00831767049121</v>
      </c>
      <c r="O82" s="8" t="s">
        <v>19</v>
      </c>
    </row>
    <row r="83" customFormat="false" ht="15" hidden="false" customHeight="false" outlineLevel="0" collapsed="false">
      <c r="A83" s="2" t="s">
        <v>33</v>
      </c>
      <c r="B83" s="2" t="s">
        <v>34</v>
      </c>
      <c r="C83" s="2" t="n">
        <v>2009</v>
      </c>
      <c r="D83" s="3" t="n">
        <v>758000</v>
      </c>
      <c r="E83" s="3" t="n">
        <v>4970</v>
      </c>
      <c r="F83" s="3" t="n">
        <v>1164432</v>
      </c>
      <c r="G83" s="3" t="n">
        <v>5165</v>
      </c>
      <c r="H83" s="4" t="n">
        <f aca="false">F83+G83</f>
        <v>1169597</v>
      </c>
      <c r="I83" s="5" t="n">
        <f aca="false">H83/D83</f>
        <v>1.54300395778364</v>
      </c>
      <c r="J83" s="6" t="n">
        <f aca="false">H83/VLOOKUP(C83,Referencia_Mundial!$A:$B,2,FALSE())*100</f>
        <v>0.713034586709596</v>
      </c>
      <c r="K83" s="2" t="s">
        <v>37</v>
      </c>
      <c r="L83" s="2" t="s">
        <v>24</v>
      </c>
      <c r="M83" s="7" t="str">
        <f aca="false">IF(F83&gt;=G83,"Captura silvestre","Acuicultura")</f>
        <v>Captura silvestre</v>
      </c>
      <c r="N83" s="6" t="n">
        <f aca="false">(H83-H82)/H82*100</f>
        <v>-10.8328867088362</v>
      </c>
      <c r="O83" s="8" t="s">
        <v>19</v>
      </c>
    </row>
    <row r="84" customFormat="false" ht="15" hidden="false" customHeight="false" outlineLevel="0" collapsed="false">
      <c r="A84" s="2" t="s">
        <v>33</v>
      </c>
      <c r="B84" s="2" t="s">
        <v>34</v>
      </c>
      <c r="C84" s="2" t="n">
        <v>2010</v>
      </c>
      <c r="D84" s="3" t="n">
        <v>758000</v>
      </c>
      <c r="E84" s="3" t="n">
        <v>4970</v>
      </c>
      <c r="F84" s="3" t="n">
        <v>1081655</v>
      </c>
      <c r="G84" s="3" t="n">
        <v>5050</v>
      </c>
      <c r="H84" s="4" t="n">
        <f aca="false">F84+G84</f>
        <v>1086705</v>
      </c>
      <c r="I84" s="5" t="n">
        <f aca="false">H84/D84</f>
        <v>1.43364775725594</v>
      </c>
      <c r="J84" s="6" t="n">
        <f aca="false">H84/VLOOKUP(C84,Referencia_Mundial!$A:$B,2,FALSE())*100</f>
        <v>0.653445862526123</v>
      </c>
      <c r="K84" s="2" t="s">
        <v>37</v>
      </c>
      <c r="L84" s="2" t="s">
        <v>24</v>
      </c>
      <c r="M84" s="7" t="str">
        <f aca="false">IF(F84&gt;=G84,"Captura silvestre","Acuicultura")</f>
        <v>Captura silvestre</v>
      </c>
      <c r="N84" s="6" t="n">
        <f aca="false">(H84-H83)/H83*100</f>
        <v>-7.08722748091864</v>
      </c>
      <c r="O84" s="8" t="s">
        <v>19</v>
      </c>
    </row>
    <row r="85" customFormat="false" ht="15" hidden="false" customHeight="false" outlineLevel="0" collapsed="false">
      <c r="A85" s="2" t="s">
        <v>33</v>
      </c>
      <c r="B85" s="2" t="s">
        <v>34</v>
      </c>
      <c r="C85" s="2" t="n">
        <v>2011</v>
      </c>
      <c r="D85" s="3" t="n">
        <v>758000</v>
      </c>
      <c r="E85" s="3" t="n">
        <v>4970</v>
      </c>
      <c r="F85" s="3" t="n">
        <v>1164914</v>
      </c>
      <c r="G85" s="3" t="n">
        <v>5308.5</v>
      </c>
      <c r="H85" s="4" t="n">
        <f aca="false">F85+G85</f>
        <v>1170222.5</v>
      </c>
      <c r="I85" s="5" t="n">
        <f aca="false">H85/D85</f>
        <v>1.54382915567282</v>
      </c>
      <c r="J85" s="6" t="n">
        <f aca="false">H85/VLOOKUP(C85,Referencia_Mundial!$A:$B,2,FALSE())*100</f>
        <v>0.671105696054281</v>
      </c>
      <c r="K85" s="2" t="s">
        <v>35</v>
      </c>
      <c r="L85" s="2" t="s">
        <v>26</v>
      </c>
      <c r="M85" s="7" t="str">
        <f aca="false">IF(F85&gt;=G85,"Captura silvestre","Acuicultura")</f>
        <v>Captura silvestre</v>
      </c>
      <c r="N85" s="6" t="n">
        <f aca="false">(H85-H84)/H84*100</f>
        <v>7.6853883988755</v>
      </c>
      <c r="O85" s="8" t="s">
        <v>19</v>
      </c>
    </row>
    <row r="86" customFormat="false" ht="15" hidden="false" customHeight="false" outlineLevel="0" collapsed="false">
      <c r="A86" s="2" t="s">
        <v>33</v>
      </c>
      <c r="B86" s="2" t="s">
        <v>34</v>
      </c>
      <c r="C86" s="2" t="n">
        <v>2012</v>
      </c>
      <c r="D86" s="3" t="n">
        <v>758000</v>
      </c>
      <c r="E86" s="3" t="n">
        <v>4970</v>
      </c>
      <c r="F86" s="3" t="n">
        <v>1466751</v>
      </c>
      <c r="G86" s="3" t="n">
        <v>7431.3</v>
      </c>
      <c r="H86" s="4" t="n">
        <f aca="false">F86+G86</f>
        <v>1474182.3</v>
      </c>
      <c r="I86" s="5" t="n">
        <f aca="false">H86/D86</f>
        <v>1.94483153034301</v>
      </c>
      <c r="J86" s="6" t="n">
        <f aca="false">H86/VLOOKUP(C86,Referencia_Mundial!$A:$B,2,FALSE())*100</f>
        <v>0.827861425051233</v>
      </c>
      <c r="K86" s="2" t="s">
        <v>35</v>
      </c>
      <c r="L86" s="2" t="s">
        <v>26</v>
      </c>
      <c r="M86" s="7" t="str">
        <f aca="false">IF(F86&gt;=G86,"Captura silvestre","Acuicultura")</f>
        <v>Captura silvestre</v>
      </c>
      <c r="N86" s="6" t="n">
        <f aca="false">(H86-H85)/H85*100</f>
        <v>25.9745304845873</v>
      </c>
      <c r="O86" s="8" t="s">
        <v>19</v>
      </c>
    </row>
    <row r="87" customFormat="false" ht="15" hidden="false" customHeight="false" outlineLevel="0" collapsed="false">
      <c r="A87" s="2" t="s">
        <v>33</v>
      </c>
      <c r="B87" s="2" t="s">
        <v>34</v>
      </c>
      <c r="C87" s="2" t="n">
        <v>2013</v>
      </c>
      <c r="D87" s="3" t="n">
        <v>758000</v>
      </c>
      <c r="E87" s="3" t="n">
        <v>4970</v>
      </c>
      <c r="F87" s="3" t="n">
        <v>1380229</v>
      </c>
      <c r="G87" s="3" t="n">
        <v>7053</v>
      </c>
      <c r="H87" s="4" t="n">
        <f aca="false">F87+G87</f>
        <v>1387282</v>
      </c>
      <c r="I87" s="5" t="n">
        <f aca="false">H87/D87</f>
        <v>1.83018733509235</v>
      </c>
      <c r="J87" s="6" t="n">
        <f aca="false">H87/VLOOKUP(C87,Referencia_Mundial!$A:$B,2,FALSE())*100</f>
        <v>0.745811161872511</v>
      </c>
      <c r="K87" s="2" t="s">
        <v>35</v>
      </c>
      <c r="L87" s="2" t="s">
        <v>26</v>
      </c>
      <c r="M87" s="7" t="str">
        <f aca="false">IF(F87&gt;=G87,"Captura silvestre","Acuicultura")</f>
        <v>Captura silvestre</v>
      </c>
      <c r="N87" s="6" t="n">
        <f aca="false">(H87-H86)/H86*100</f>
        <v>-5.8948136875609</v>
      </c>
      <c r="O87" s="8" t="s">
        <v>19</v>
      </c>
    </row>
    <row r="88" customFormat="false" ht="15" hidden="false" customHeight="false" outlineLevel="0" collapsed="false">
      <c r="A88" s="2" t="s">
        <v>33</v>
      </c>
      <c r="B88" s="2" t="s">
        <v>34</v>
      </c>
      <c r="C88" s="2" t="n">
        <v>2014</v>
      </c>
      <c r="D88" s="3" t="n">
        <v>758000</v>
      </c>
      <c r="E88" s="3" t="n">
        <v>4970</v>
      </c>
      <c r="F88" s="3" t="n">
        <v>1095508</v>
      </c>
      <c r="G88" s="3" t="n">
        <v>8433.5</v>
      </c>
      <c r="H88" s="4" t="n">
        <f aca="false">F88+G88</f>
        <v>1103941.5</v>
      </c>
      <c r="I88" s="5" t="n">
        <f aca="false">H88/D88</f>
        <v>1.45638720316623</v>
      </c>
      <c r="J88" s="6" t="n">
        <f aca="false">H88/VLOOKUP(C88,Referencia_Mundial!$A:$B,2,FALSE())*100</f>
        <v>0.577500748006011</v>
      </c>
      <c r="K88" s="2" t="s">
        <v>38</v>
      </c>
      <c r="L88" s="2" t="s">
        <v>21</v>
      </c>
      <c r="M88" s="7" t="str">
        <f aca="false">IF(F88&gt;=G88,"Captura silvestre","Acuicultura")</f>
        <v>Captura silvestre</v>
      </c>
      <c r="N88" s="6" t="n">
        <f aca="false">(H88-H87)/H87*100</f>
        <v>-20.4241459198634</v>
      </c>
      <c r="O88" s="8" t="s">
        <v>19</v>
      </c>
    </row>
    <row r="89" customFormat="false" ht="15" hidden="false" customHeight="false" outlineLevel="0" collapsed="false">
      <c r="A89" s="2" t="s">
        <v>33</v>
      </c>
      <c r="B89" s="2" t="s">
        <v>34</v>
      </c>
      <c r="C89" s="2" t="n">
        <v>2015</v>
      </c>
      <c r="D89" s="3" t="n">
        <v>758000</v>
      </c>
      <c r="E89" s="3" t="n">
        <v>4970</v>
      </c>
      <c r="F89" s="3" t="n">
        <v>1347485</v>
      </c>
      <c r="G89" s="3" t="n">
        <v>8382.6</v>
      </c>
      <c r="H89" s="4" t="n">
        <f aca="false">F89+G89</f>
        <v>1355867.6</v>
      </c>
      <c r="I89" s="5" t="n">
        <f aca="false">H89/D89</f>
        <v>1.78874353562005</v>
      </c>
      <c r="J89" s="6" t="n">
        <f aca="false">H89/VLOOKUP(C89,Referencia_Mundial!$A:$B,2,FALSE())*100</f>
        <v>0.689069550406111</v>
      </c>
      <c r="K89" s="2" t="s">
        <v>35</v>
      </c>
      <c r="L89" s="2" t="s">
        <v>26</v>
      </c>
      <c r="M89" s="7" t="str">
        <f aca="false">IF(F89&gt;=G89,"Captura silvestre","Acuicultura")</f>
        <v>Captura silvestre</v>
      </c>
      <c r="N89" s="6" t="n">
        <f aca="false">(H89-H88)/H88*100</f>
        <v>22.8206023598171</v>
      </c>
      <c r="O89" s="8" t="s">
        <v>19</v>
      </c>
    </row>
    <row r="90" customFormat="false" ht="15" hidden="false" customHeight="false" outlineLevel="0" collapsed="false">
      <c r="A90" s="2" t="s">
        <v>33</v>
      </c>
      <c r="B90" s="2" t="s">
        <v>34</v>
      </c>
      <c r="C90" s="2" t="n">
        <v>2016</v>
      </c>
      <c r="D90" s="3" t="n">
        <v>758000</v>
      </c>
      <c r="E90" s="3" t="n">
        <v>4970</v>
      </c>
      <c r="F90" s="3" t="n">
        <v>1092966</v>
      </c>
      <c r="G90" s="3" t="n">
        <v>15129</v>
      </c>
      <c r="H90" s="4" t="n">
        <f aca="false">F90+G90</f>
        <v>1108095</v>
      </c>
      <c r="I90" s="5" t="n">
        <f aca="false">H90/D90</f>
        <v>1.46186675461741</v>
      </c>
      <c r="J90" s="6" t="n">
        <f aca="false">H90/VLOOKUP(C90,Referencia_Mundial!$A:$B,2,FALSE())*100</f>
        <v>0.556921424831739</v>
      </c>
      <c r="K90" s="2" t="s">
        <v>38</v>
      </c>
      <c r="L90" s="2" t="s">
        <v>21</v>
      </c>
      <c r="M90" s="7" t="str">
        <f aca="false">IF(F90&gt;=G90,"Captura silvestre","Acuicultura")</f>
        <v>Captura silvestre</v>
      </c>
      <c r="N90" s="6" t="n">
        <f aca="false">(H90-H89)/H89*100</f>
        <v>-18.2740999194907</v>
      </c>
      <c r="O90" s="8" t="s">
        <v>19</v>
      </c>
    </row>
    <row r="91" customFormat="false" ht="15" hidden="false" customHeight="false" outlineLevel="0" collapsed="false">
      <c r="A91" s="2" t="s">
        <v>33</v>
      </c>
      <c r="B91" s="2" t="s">
        <v>34</v>
      </c>
      <c r="C91" s="2" t="n">
        <v>2017</v>
      </c>
      <c r="D91" s="3" t="n">
        <v>758000</v>
      </c>
      <c r="E91" s="3" t="n">
        <v>4970</v>
      </c>
      <c r="F91" s="3" t="n">
        <v>1203786</v>
      </c>
      <c r="G91" s="3" t="n">
        <v>20858.7</v>
      </c>
      <c r="H91" s="4" t="n">
        <f aca="false">F91+G91</f>
        <v>1224644.7</v>
      </c>
      <c r="I91" s="5" t="n">
        <f aca="false">H91/D91</f>
        <v>1.61562625329815</v>
      </c>
      <c r="J91" s="6" t="n">
        <f aca="false">H91/VLOOKUP(C91,Referencia_Mundial!$A:$B,2,FALSE())*100</f>
        <v>0.592545263616271</v>
      </c>
      <c r="K91" s="2" t="s">
        <v>38</v>
      </c>
      <c r="L91" s="2" t="s">
        <v>21</v>
      </c>
      <c r="M91" s="7" t="str">
        <f aca="false">IF(F91&gt;=G91,"Captura silvestre","Acuicultura")</f>
        <v>Captura silvestre</v>
      </c>
      <c r="N91" s="6" t="n">
        <f aca="false">(H91-H90)/H90*100</f>
        <v>10.5180241766275</v>
      </c>
      <c r="O91" s="8" t="s">
        <v>19</v>
      </c>
    </row>
    <row r="92" customFormat="false" ht="15" hidden="false" customHeight="false" outlineLevel="0" collapsed="false">
      <c r="A92" s="2" t="s">
        <v>33</v>
      </c>
      <c r="B92" s="2" t="s">
        <v>34</v>
      </c>
      <c r="C92" s="2" t="n">
        <v>2018</v>
      </c>
      <c r="D92" s="3" t="n">
        <v>758000</v>
      </c>
      <c r="E92" s="3" t="n">
        <v>4970</v>
      </c>
      <c r="F92" s="3" t="n">
        <v>1279500</v>
      </c>
      <c r="G92" s="3" t="n">
        <v>19185</v>
      </c>
      <c r="H92" s="4" t="n">
        <f aca="false">F92+G92</f>
        <v>1298685</v>
      </c>
      <c r="I92" s="5" t="n">
        <f aca="false">H92/D92</f>
        <v>1.71330474934037</v>
      </c>
      <c r="J92" s="6" t="n">
        <f aca="false">H92/VLOOKUP(C92,Referencia_Mundial!$A:$B,2,FALSE())*100</f>
        <v>0.608715069794087</v>
      </c>
      <c r="K92" s="2" t="s">
        <v>36</v>
      </c>
      <c r="L92" s="2" t="s">
        <v>21</v>
      </c>
      <c r="M92" s="7" t="str">
        <f aca="false">IF(F92&gt;=G92,"Captura silvestre","Acuicultura")</f>
        <v>Captura silvestre</v>
      </c>
      <c r="N92" s="6" t="n">
        <f aca="false">(H92-H91)/H91*100</f>
        <v>6.04585966852264</v>
      </c>
      <c r="O92" s="8" t="s">
        <v>19</v>
      </c>
    </row>
    <row r="93" customFormat="false" ht="15" hidden="false" customHeight="false" outlineLevel="0" collapsed="false">
      <c r="A93" s="2" t="s">
        <v>33</v>
      </c>
      <c r="B93" s="2" t="s">
        <v>34</v>
      </c>
      <c r="C93" s="2" t="n">
        <v>2019</v>
      </c>
      <c r="D93" s="3" t="n">
        <v>758000</v>
      </c>
      <c r="E93" s="3" t="n">
        <v>4970</v>
      </c>
      <c r="F93" s="3" t="n">
        <v>1066888</v>
      </c>
      <c r="G93" s="3" t="n">
        <v>34054.8</v>
      </c>
      <c r="H93" s="4" t="n">
        <f aca="false">F93+G93</f>
        <v>1100942.8</v>
      </c>
      <c r="I93" s="5" t="n">
        <f aca="false">H93/D93</f>
        <v>1.45243113456464</v>
      </c>
      <c r="J93" s="6" t="n">
        <f aca="false">H93/VLOOKUP(C93,Referencia_Mundial!$A:$B,2,FALSE())*100</f>
        <v>0.516446072901951</v>
      </c>
      <c r="K93" s="2" t="s">
        <v>38</v>
      </c>
      <c r="L93" s="2" t="s">
        <v>21</v>
      </c>
      <c r="M93" s="7" t="str">
        <f aca="false">IF(F93&gt;=G93,"Captura silvestre","Acuicultura")</f>
        <v>Captura silvestre</v>
      </c>
      <c r="N93" s="6" t="n">
        <f aca="false">(H93-H92)/H92*100</f>
        <v>-15.2263404905732</v>
      </c>
      <c r="O93" s="8" t="s">
        <v>19</v>
      </c>
    </row>
    <row r="94" customFormat="false" ht="15" hidden="false" customHeight="false" outlineLevel="0" collapsed="false">
      <c r="A94" s="2" t="s">
        <v>33</v>
      </c>
      <c r="B94" s="2" t="s">
        <v>34</v>
      </c>
      <c r="C94" s="2" t="n">
        <v>2020</v>
      </c>
      <c r="D94" s="3" t="n">
        <v>758000</v>
      </c>
      <c r="E94" s="3" t="n">
        <v>4970</v>
      </c>
      <c r="F94" s="3" t="n">
        <v>1039086.2</v>
      </c>
      <c r="G94" s="3" t="n">
        <v>40609</v>
      </c>
      <c r="H94" s="4" t="n">
        <f aca="false">F94+G94</f>
        <v>1079695.2</v>
      </c>
      <c r="I94" s="5" t="n">
        <f aca="false">H94/D94</f>
        <v>1.4244</v>
      </c>
      <c r="J94" s="6" t="n">
        <f aca="false">H94/VLOOKUP(C94,Referencia_Mundial!$A:$B,2,FALSE())*100</f>
        <v>0.505724057702522</v>
      </c>
      <c r="K94" s="2" t="s">
        <v>38</v>
      </c>
      <c r="L94" s="2" t="s">
        <v>21</v>
      </c>
      <c r="M94" s="7" t="str">
        <f aca="false">IF(F94&gt;=G94,"Captura silvestre","Acuicultura")</f>
        <v>Captura silvestre</v>
      </c>
      <c r="N94" s="6" t="n">
        <f aca="false">(H94-H93)/H93*100</f>
        <v>-1.92994586094755</v>
      </c>
      <c r="O94" s="8" t="s">
        <v>19</v>
      </c>
    </row>
    <row r="95" customFormat="false" ht="15" hidden="false" customHeight="false" outlineLevel="0" collapsed="false">
      <c r="A95" s="2" t="s">
        <v>33</v>
      </c>
      <c r="B95" s="2" t="s">
        <v>34</v>
      </c>
      <c r="C95" s="2" t="n">
        <v>2021</v>
      </c>
      <c r="D95" s="3" t="n">
        <v>758000</v>
      </c>
      <c r="E95" s="3" t="n">
        <v>4970</v>
      </c>
      <c r="F95" s="3" t="n">
        <v>1171229.4</v>
      </c>
      <c r="G95" s="3" t="n">
        <v>53154</v>
      </c>
      <c r="H95" s="4" t="n">
        <f aca="false">F95+G95</f>
        <v>1224383.4</v>
      </c>
      <c r="I95" s="5" t="n">
        <f aca="false">H95/D95</f>
        <v>1.61528153034301</v>
      </c>
      <c r="J95" s="6" t="n">
        <f aca="false">H95/VLOOKUP(C95,Referencia_Mundial!$A:$B,2,FALSE())*100</f>
        <v>0.559113532379174</v>
      </c>
      <c r="K95" s="2" t="s">
        <v>38</v>
      </c>
      <c r="L95" s="2" t="s">
        <v>21</v>
      </c>
      <c r="M95" s="7" t="str">
        <f aca="false">IF(F95&gt;=G95,"Captura silvestre","Acuicultura")</f>
        <v>Captura silvestre</v>
      </c>
      <c r="N95" s="6" t="n">
        <f aca="false">(H95-H94)/H94*100</f>
        <v>13.4008375697141</v>
      </c>
      <c r="O95" s="8" t="s">
        <v>19</v>
      </c>
    </row>
    <row r="96" customFormat="false" ht="15" hidden="false" customHeight="false" outlineLevel="0" collapsed="false">
      <c r="A96" s="2" t="s">
        <v>33</v>
      </c>
      <c r="B96" s="2" t="s">
        <v>34</v>
      </c>
      <c r="C96" s="2" t="n">
        <v>2022</v>
      </c>
      <c r="D96" s="3" t="n">
        <v>758000</v>
      </c>
      <c r="E96" s="3" t="n">
        <v>4970</v>
      </c>
      <c r="F96" s="3" t="n">
        <v>1662876.5</v>
      </c>
      <c r="G96" s="3" t="n">
        <v>51362</v>
      </c>
      <c r="H96" s="4" t="n">
        <f aca="false">F96+G96</f>
        <v>1714238.5</v>
      </c>
      <c r="I96" s="5" t="n">
        <f aca="false">H96/D96</f>
        <v>2.2615283641161</v>
      </c>
      <c r="J96" s="6" t="n">
        <f aca="false">H96/VLOOKUP(C96,Referencia_Mundial!$A:$B,2,FALSE())*100</f>
        <v>0.768398385970486</v>
      </c>
      <c r="K96" s="2" t="s">
        <v>35</v>
      </c>
      <c r="L96" s="2" t="s">
        <v>26</v>
      </c>
      <c r="M96" s="7" t="str">
        <f aca="false">IF(F96&gt;=G96,"Captura silvestre","Acuicultura")</f>
        <v>Captura silvestre</v>
      </c>
      <c r="N96" s="6" t="n">
        <f aca="false">(H96-H95)/H95*100</f>
        <v>40.0083094886782</v>
      </c>
      <c r="O96" s="8" t="s">
        <v>19</v>
      </c>
    </row>
    <row r="97" customFormat="false" ht="15" hidden="false" customHeight="false" outlineLevel="0" collapsed="false">
      <c r="A97" s="2" t="s">
        <v>33</v>
      </c>
      <c r="B97" s="2" t="s">
        <v>34</v>
      </c>
      <c r="C97" s="2" t="n">
        <v>2023</v>
      </c>
      <c r="D97" s="3" t="n">
        <v>758000</v>
      </c>
      <c r="E97" s="3" t="n">
        <v>4970</v>
      </c>
      <c r="F97" s="3" t="n">
        <v>1371097.6</v>
      </c>
      <c r="G97" s="3" t="n">
        <v>49602</v>
      </c>
      <c r="H97" s="4" t="n">
        <f aca="false">F97+G97</f>
        <v>1420699.6</v>
      </c>
      <c r="I97" s="5" t="n">
        <f aca="false">H97/D97</f>
        <v>1.87427387862797</v>
      </c>
      <c r="J97" s="6" t="n">
        <f aca="false">H97/VLOOKUP(C97,Referencia_Mundial!$A:$B,2,FALSE())*100</f>
        <v>0.623377962409177</v>
      </c>
      <c r="K97" s="2" t="s">
        <v>35</v>
      </c>
      <c r="L97" s="2" t="s">
        <v>26</v>
      </c>
      <c r="M97" s="7" t="str">
        <f aca="false">IF(F97&gt;=G97,"Captura silvestre","Acuicultura")</f>
        <v>Captura silvestre</v>
      </c>
      <c r="N97" s="6" t="n">
        <f aca="false">(H97-H96)/H96*100</f>
        <v>-17.1235741117703</v>
      </c>
      <c r="O97" s="8" t="s">
        <v>19</v>
      </c>
    </row>
    <row r="98" customFormat="false" ht="15" hidden="false" customHeight="false" outlineLevel="0" collapsed="false">
      <c r="A98" s="2" t="s">
        <v>39</v>
      </c>
      <c r="B98" s="2" t="s">
        <v>34</v>
      </c>
      <c r="C98" s="2" t="n">
        <v>2000</v>
      </c>
      <c r="D98" s="3" t="n">
        <v>2385178</v>
      </c>
      <c r="E98" s="3" t="n">
        <v>28953</v>
      </c>
      <c r="F98" s="3" t="n">
        <v>2891791</v>
      </c>
      <c r="G98" s="3" t="n">
        <v>491329</v>
      </c>
      <c r="H98" s="4" t="n">
        <f aca="false">F98+G98</f>
        <v>3383120</v>
      </c>
      <c r="I98" s="5" t="n">
        <f aca="false">H98/D98</f>
        <v>1.41839309267484</v>
      </c>
      <c r="J98" s="6" t="n">
        <f aca="false">H98/VLOOKUP(C98,Referencia_Mundial!$A:$B,2,FALSE())*100</f>
        <v>2.45523617884832</v>
      </c>
      <c r="K98" s="2" t="s">
        <v>37</v>
      </c>
      <c r="L98" s="2" t="s">
        <v>24</v>
      </c>
      <c r="M98" s="7" t="str">
        <f aca="false">IF(F98&gt;=G98,"Captura silvestre","Acuicultura")</f>
        <v>Captura silvestre</v>
      </c>
      <c r="N98" s="6"/>
      <c r="O98" s="8" t="s">
        <v>19</v>
      </c>
    </row>
    <row r="99" customFormat="false" ht="15" hidden="false" customHeight="false" outlineLevel="0" collapsed="false">
      <c r="A99" s="2" t="s">
        <v>39</v>
      </c>
      <c r="B99" s="2" t="s">
        <v>34</v>
      </c>
      <c r="C99" s="2" t="n">
        <v>2001</v>
      </c>
      <c r="D99" s="3" t="n">
        <v>2385178</v>
      </c>
      <c r="E99" s="3" t="n">
        <v>28953</v>
      </c>
      <c r="F99" s="3" t="n">
        <v>2862152</v>
      </c>
      <c r="G99" s="3" t="n">
        <v>510748</v>
      </c>
      <c r="H99" s="4" t="n">
        <f aca="false">F99+G99</f>
        <v>3372900</v>
      </c>
      <c r="I99" s="5" t="n">
        <f aca="false">H99/D99</f>
        <v>1.41410829715853</v>
      </c>
      <c r="J99" s="6" t="n">
        <f aca="false">H99/VLOOKUP(C99,Referencia_Mundial!$A:$B,2,FALSE())*100</f>
        <v>2.45219467178587</v>
      </c>
      <c r="K99" s="2" t="s">
        <v>37</v>
      </c>
      <c r="L99" s="2" t="s">
        <v>24</v>
      </c>
      <c r="M99" s="7" t="str">
        <f aca="false">IF(F99&gt;=G99,"Captura silvestre","Acuicultura")</f>
        <v>Captura silvestre</v>
      </c>
      <c r="N99" s="6" t="n">
        <f aca="false">(H99-H98)/H98*100</f>
        <v>-0.302088013431389</v>
      </c>
      <c r="O99" s="8" t="s">
        <v>19</v>
      </c>
    </row>
    <row r="100" customFormat="false" ht="15" hidden="false" customHeight="false" outlineLevel="0" collapsed="false">
      <c r="A100" s="2" t="s">
        <v>39</v>
      </c>
      <c r="B100" s="2" t="s">
        <v>34</v>
      </c>
      <c r="C100" s="2" t="n">
        <v>2002</v>
      </c>
      <c r="D100" s="3" t="n">
        <v>2385178</v>
      </c>
      <c r="E100" s="3" t="n">
        <v>28953</v>
      </c>
      <c r="F100" s="3" t="n">
        <v>2923116</v>
      </c>
      <c r="G100" s="3" t="n">
        <v>551300</v>
      </c>
      <c r="H100" s="4" t="n">
        <f aca="false">F100+G100</f>
        <v>3474416</v>
      </c>
      <c r="I100" s="5" t="n">
        <f aca="false">H100/D100</f>
        <v>1.45666948127142</v>
      </c>
      <c r="J100" s="6" t="n">
        <f aca="false">H100/VLOOKUP(C100,Referencia_Mundial!$A:$B,2,FALSE())*100</f>
        <v>2.46380008847893</v>
      </c>
      <c r="K100" s="2" t="s">
        <v>37</v>
      </c>
      <c r="L100" s="2" t="s">
        <v>24</v>
      </c>
      <c r="M100" s="7" t="str">
        <f aca="false">IF(F100&gt;=G100,"Captura silvestre","Acuicultura")</f>
        <v>Captura silvestre</v>
      </c>
      <c r="N100" s="6" t="n">
        <f aca="false">(H100-H99)/H99*100</f>
        <v>3.009754217439</v>
      </c>
      <c r="O100" s="8" t="s">
        <v>19</v>
      </c>
    </row>
    <row r="101" customFormat="false" ht="15" hidden="false" customHeight="false" outlineLevel="0" collapsed="false">
      <c r="A101" s="2" t="s">
        <v>39</v>
      </c>
      <c r="B101" s="2" t="s">
        <v>34</v>
      </c>
      <c r="C101" s="2" t="n">
        <v>2003</v>
      </c>
      <c r="D101" s="3" t="n">
        <v>2385178</v>
      </c>
      <c r="E101" s="3" t="n">
        <v>28953</v>
      </c>
      <c r="F101" s="3" t="n">
        <v>2702012</v>
      </c>
      <c r="G101" s="3" t="n">
        <v>584422</v>
      </c>
      <c r="H101" s="4" t="n">
        <f aca="false">F101+G101</f>
        <v>3286434</v>
      </c>
      <c r="I101" s="5" t="n">
        <f aca="false">H101/D101</f>
        <v>1.37785691466213</v>
      </c>
      <c r="J101" s="6" t="n">
        <f aca="false">H101/VLOOKUP(C101,Referencia_Mundial!$A:$B,2,FALSE())*100</f>
        <v>2.32850731589071</v>
      </c>
      <c r="K101" s="2" t="s">
        <v>36</v>
      </c>
      <c r="L101" s="2" t="s">
        <v>21</v>
      </c>
      <c r="M101" s="7" t="str">
        <f aca="false">IF(F101&gt;=G101,"Captura silvestre","Acuicultura")</f>
        <v>Captura silvestre</v>
      </c>
      <c r="N101" s="6" t="n">
        <f aca="false">(H101-H100)/H100*100</f>
        <v>-5.41046322605008</v>
      </c>
      <c r="O101" s="8" t="s">
        <v>19</v>
      </c>
    </row>
    <row r="102" customFormat="false" ht="15" hidden="false" customHeight="false" outlineLevel="0" collapsed="false">
      <c r="A102" s="2" t="s">
        <v>39</v>
      </c>
      <c r="B102" s="2" t="s">
        <v>34</v>
      </c>
      <c r="C102" s="2" t="n">
        <v>2004</v>
      </c>
      <c r="D102" s="3" t="n">
        <v>2385178</v>
      </c>
      <c r="E102" s="3" t="n">
        <v>28953</v>
      </c>
      <c r="F102" s="3" t="n">
        <v>2672699</v>
      </c>
      <c r="G102" s="3" t="n">
        <v>636802</v>
      </c>
      <c r="H102" s="4" t="n">
        <f aca="false">F102+G102</f>
        <v>3309501</v>
      </c>
      <c r="I102" s="5" t="n">
        <f aca="false">H102/D102</f>
        <v>1.38752789100017</v>
      </c>
      <c r="J102" s="6" t="n">
        <f aca="false">H102/VLOOKUP(C102,Referencia_Mundial!$A:$B,2,FALSE())*100</f>
        <v>2.2057188163757</v>
      </c>
      <c r="K102" s="2" t="s">
        <v>36</v>
      </c>
      <c r="L102" s="2" t="s">
        <v>21</v>
      </c>
      <c r="M102" s="7" t="str">
        <f aca="false">IF(F102&gt;=G102,"Captura silvestre","Acuicultura")</f>
        <v>Captura silvestre</v>
      </c>
      <c r="N102" s="6" t="n">
        <f aca="false">(H102-H101)/H101*100</f>
        <v>0.70188538701827</v>
      </c>
      <c r="O102" s="8" t="s">
        <v>19</v>
      </c>
    </row>
    <row r="103" customFormat="false" ht="15" hidden="false" customHeight="false" outlineLevel="0" collapsed="false">
      <c r="A103" s="2" t="s">
        <v>39</v>
      </c>
      <c r="B103" s="2" t="s">
        <v>34</v>
      </c>
      <c r="C103" s="2" t="n">
        <v>2005</v>
      </c>
      <c r="D103" s="3" t="n">
        <v>2385178</v>
      </c>
      <c r="E103" s="3" t="n">
        <v>28953</v>
      </c>
      <c r="F103" s="3" t="n">
        <v>2546500</v>
      </c>
      <c r="G103" s="3" t="n">
        <v>661877</v>
      </c>
      <c r="H103" s="4" t="n">
        <f aca="false">F103+G103</f>
        <v>3208377</v>
      </c>
      <c r="I103" s="5" t="n">
        <f aca="false">H103/D103</f>
        <v>1.34513105520846</v>
      </c>
      <c r="J103" s="6" t="n">
        <f aca="false">H103/VLOOKUP(C103,Referencia_Mundial!$A:$B,2,FALSE())*100</f>
        <v>2.09795646526018</v>
      </c>
      <c r="K103" s="2" t="s">
        <v>37</v>
      </c>
      <c r="L103" s="2" t="s">
        <v>24</v>
      </c>
      <c r="M103" s="7" t="str">
        <f aca="false">IF(F103&gt;=G103,"Captura silvestre","Acuicultura")</f>
        <v>Captura silvestre</v>
      </c>
      <c r="N103" s="6" t="n">
        <f aca="false">(H103-H102)/H102*100</f>
        <v>-3.05556638296831</v>
      </c>
      <c r="O103" s="8" t="s">
        <v>19</v>
      </c>
    </row>
    <row r="104" customFormat="false" ht="15" hidden="false" customHeight="false" outlineLevel="0" collapsed="false">
      <c r="A104" s="2" t="s">
        <v>39</v>
      </c>
      <c r="B104" s="2" t="s">
        <v>34</v>
      </c>
      <c r="C104" s="2" t="n">
        <v>2006</v>
      </c>
      <c r="D104" s="3" t="n">
        <v>2385178</v>
      </c>
      <c r="E104" s="3" t="n">
        <v>28953</v>
      </c>
      <c r="F104" s="3" t="n">
        <v>2401781</v>
      </c>
      <c r="G104" s="3" t="n">
        <v>712373</v>
      </c>
      <c r="H104" s="4" t="n">
        <f aca="false">F104+G104</f>
        <v>3114154</v>
      </c>
      <c r="I104" s="5" t="n">
        <f aca="false">H104/D104</f>
        <v>1.30562750453006</v>
      </c>
      <c r="J104" s="6" t="n">
        <f aca="false">H104/VLOOKUP(C104,Referencia_Mundial!$A:$B,2,FALSE())*100</f>
        <v>2.01864749178361</v>
      </c>
      <c r="K104" s="2" t="s">
        <v>37</v>
      </c>
      <c r="L104" s="2" t="s">
        <v>24</v>
      </c>
      <c r="M104" s="7" t="str">
        <f aca="false">IF(F104&gt;=G104,"Captura silvestre","Acuicultura")</f>
        <v>Captura silvestre</v>
      </c>
      <c r="N104" s="6" t="n">
        <f aca="false">(H104-H103)/H103*100</f>
        <v>-2.93678080848978</v>
      </c>
      <c r="O104" s="8" t="s">
        <v>19</v>
      </c>
    </row>
    <row r="105" customFormat="false" ht="15" hidden="false" customHeight="false" outlineLevel="0" collapsed="false">
      <c r="A105" s="2" t="s">
        <v>39</v>
      </c>
      <c r="B105" s="2" t="s">
        <v>34</v>
      </c>
      <c r="C105" s="2" t="n">
        <v>2007</v>
      </c>
      <c r="D105" s="3" t="n">
        <v>2385178</v>
      </c>
      <c r="E105" s="3" t="n">
        <v>28953</v>
      </c>
      <c r="F105" s="3" t="n">
        <v>2514659</v>
      </c>
      <c r="G105" s="3" t="n">
        <v>841560</v>
      </c>
      <c r="H105" s="4" t="n">
        <f aca="false">F105+G105</f>
        <v>3356219</v>
      </c>
      <c r="I105" s="5" t="n">
        <f aca="false">H105/D105</f>
        <v>1.40711468913431</v>
      </c>
      <c r="J105" s="6" t="n">
        <f aca="false">H105/VLOOKUP(C105,Referencia_Mundial!$A:$B,2,FALSE())*100</f>
        <v>2.12426424980969</v>
      </c>
      <c r="K105" s="2" t="s">
        <v>37</v>
      </c>
      <c r="L105" s="2" t="s">
        <v>24</v>
      </c>
      <c r="M105" s="7" t="str">
        <f aca="false">IF(F105&gt;=G105,"Captura silvestre","Acuicultura")</f>
        <v>Captura silvestre</v>
      </c>
      <c r="N105" s="6" t="n">
        <f aca="false">(H105-H104)/H104*100</f>
        <v>7.77305810823742</v>
      </c>
      <c r="O105" s="8" t="s">
        <v>19</v>
      </c>
    </row>
    <row r="106" customFormat="false" ht="15" hidden="false" customHeight="false" outlineLevel="0" collapsed="false">
      <c r="A106" s="2" t="s">
        <v>39</v>
      </c>
      <c r="B106" s="2" t="s">
        <v>34</v>
      </c>
      <c r="C106" s="2" t="n">
        <v>2008</v>
      </c>
      <c r="D106" s="3" t="n">
        <v>2385178</v>
      </c>
      <c r="E106" s="3" t="n">
        <v>28953</v>
      </c>
      <c r="F106" s="3" t="n">
        <v>2583895.3</v>
      </c>
      <c r="G106" s="3" t="n">
        <v>848359</v>
      </c>
      <c r="H106" s="4" t="n">
        <f aca="false">F106+G106</f>
        <v>3432254.3</v>
      </c>
      <c r="I106" s="5" t="n">
        <f aca="false">H106/D106</f>
        <v>1.43899293889177</v>
      </c>
      <c r="J106" s="6" t="n">
        <f aca="false">H106/VLOOKUP(C106,Referencia_Mundial!$A:$B,2,FALSE())*100</f>
        <v>2.13180024582419</v>
      </c>
      <c r="K106" s="2" t="s">
        <v>37</v>
      </c>
      <c r="L106" s="2" t="s">
        <v>24</v>
      </c>
      <c r="M106" s="7" t="str">
        <f aca="false">IF(F106&gt;=G106,"Captura silvestre","Acuicultura")</f>
        <v>Captura silvestre</v>
      </c>
      <c r="N106" s="6" t="n">
        <f aca="false">(H106-H105)/H105*100</f>
        <v>2.26550472421495</v>
      </c>
      <c r="O106" s="8" t="s">
        <v>19</v>
      </c>
    </row>
    <row r="107" customFormat="false" ht="15" hidden="false" customHeight="false" outlineLevel="0" collapsed="false">
      <c r="A107" s="2" t="s">
        <v>39</v>
      </c>
      <c r="B107" s="2" t="s">
        <v>34</v>
      </c>
      <c r="C107" s="2" t="n">
        <v>2009</v>
      </c>
      <c r="D107" s="3" t="n">
        <v>2385178</v>
      </c>
      <c r="E107" s="3" t="n">
        <v>28953</v>
      </c>
      <c r="F107" s="3" t="n">
        <v>2693500.4</v>
      </c>
      <c r="G107" s="3" t="n">
        <v>961839.8</v>
      </c>
      <c r="H107" s="4" t="n">
        <f aca="false">F107+G107</f>
        <v>3655340.2</v>
      </c>
      <c r="I107" s="5" t="n">
        <f aca="false">H107/D107</f>
        <v>1.53252302343892</v>
      </c>
      <c r="J107" s="6" t="n">
        <f aca="false">H107/VLOOKUP(C107,Referencia_Mundial!$A:$B,2,FALSE())*100</f>
        <v>2.22844619881033</v>
      </c>
      <c r="K107" s="2" t="s">
        <v>37</v>
      </c>
      <c r="L107" s="2" t="s">
        <v>24</v>
      </c>
      <c r="M107" s="7" t="str">
        <f aca="false">IF(F107&gt;=G107,"Captura silvestre","Acuicultura")</f>
        <v>Captura silvestre</v>
      </c>
      <c r="N107" s="6" t="n">
        <f aca="false">(H107-H106)/H106*100</f>
        <v>6.49969030558139</v>
      </c>
      <c r="O107" s="8" t="s">
        <v>19</v>
      </c>
    </row>
    <row r="108" customFormat="false" ht="15" hidden="false" customHeight="false" outlineLevel="0" collapsed="false">
      <c r="A108" s="2" t="s">
        <v>39</v>
      </c>
      <c r="B108" s="2" t="s">
        <v>34</v>
      </c>
      <c r="C108" s="2" t="n">
        <v>2010</v>
      </c>
      <c r="D108" s="3" t="n">
        <v>2385178</v>
      </c>
      <c r="E108" s="3" t="n">
        <v>28953</v>
      </c>
      <c r="F108" s="3" t="n">
        <v>2838470</v>
      </c>
      <c r="G108" s="3" t="n">
        <v>1019801.9</v>
      </c>
      <c r="H108" s="4" t="n">
        <f aca="false">F108+G108</f>
        <v>3858271.9</v>
      </c>
      <c r="I108" s="5" t="n">
        <f aca="false">H108/D108</f>
        <v>1.61760334029578</v>
      </c>
      <c r="J108" s="6" t="n">
        <f aca="false">H108/VLOOKUP(C108,Referencia_Mundial!$A:$B,2,FALSE())*100</f>
        <v>2.32001491624296</v>
      </c>
      <c r="K108" s="2" t="s">
        <v>27</v>
      </c>
      <c r="L108" s="2" t="s">
        <v>28</v>
      </c>
      <c r="M108" s="7" t="str">
        <f aca="false">IF(F108&gt;=G108,"Captura silvestre","Acuicultura")</f>
        <v>Captura silvestre</v>
      </c>
      <c r="N108" s="6" t="n">
        <f aca="false">(H108-H107)/H107*100</f>
        <v>5.5516501583081</v>
      </c>
      <c r="O108" s="8" t="s">
        <v>19</v>
      </c>
    </row>
    <row r="109" customFormat="false" ht="15" hidden="false" customHeight="false" outlineLevel="0" collapsed="false">
      <c r="A109" s="2" t="s">
        <v>39</v>
      </c>
      <c r="B109" s="2" t="s">
        <v>34</v>
      </c>
      <c r="C109" s="2" t="n">
        <v>2011</v>
      </c>
      <c r="D109" s="3" t="n">
        <v>2385178</v>
      </c>
      <c r="E109" s="3" t="n">
        <v>28953</v>
      </c>
      <c r="F109" s="3" t="n">
        <v>2442576.5</v>
      </c>
      <c r="G109" s="3" t="n">
        <v>1143893.3</v>
      </c>
      <c r="H109" s="4" t="n">
        <f aca="false">F109+G109</f>
        <v>3586469.8</v>
      </c>
      <c r="I109" s="5" t="n">
        <f aca="false">H109/D109</f>
        <v>1.50364870043242</v>
      </c>
      <c r="J109" s="6" t="n">
        <f aca="false">H109/VLOOKUP(C109,Referencia_Mundial!$A:$B,2,FALSE())*100</f>
        <v>2.05678861200042</v>
      </c>
      <c r="K109" s="2" t="s">
        <v>27</v>
      </c>
      <c r="L109" s="2" t="s">
        <v>28</v>
      </c>
      <c r="M109" s="7" t="str">
        <f aca="false">IF(F109&gt;=G109,"Captura silvestre","Acuicultura")</f>
        <v>Captura silvestre</v>
      </c>
      <c r="N109" s="6" t="n">
        <f aca="false">(H109-H108)/H108*100</f>
        <v>-7.04465903504624</v>
      </c>
      <c r="O109" s="8" t="s">
        <v>19</v>
      </c>
    </row>
    <row r="110" customFormat="false" ht="15" hidden="false" customHeight="false" outlineLevel="0" collapsed="false">
      <c r="A110" s="2" t="s">
        <v>39</v>
      </c>
      <c r="B110" s="2" t="s">
        <v>34</v>
      </c>
      <c r="C110" s="2" t="n">
        <v>2012</v>
      </c>
      <c r="D110" s="3" t="n">
        <v>2385178</v>
      </c>
      <c r="E110" s="3" t="n">
        <v>28953</v>
      </c>
      <c r="F110" s="3" t="n">
        <v>2282646.4</v>
      </c>
      <c r="G110" s="3" t="n">
        <v>1321119.2</v>
      </c>
      <c r="H110" s="4" t="n">
        <f aca="false">F110+G110</f>
        <v>3603765.6</v>
      </c>
      <c r="I110" s="5" t="n">
        <f aca="false">H110/D110</f>
        <v>1.5109000669971</v>
      </c>
      <c r="J110" s="6" t="n">
        <f aca="false">H110/VLOOKUP(C110,Referencia_Mundial!$A:$B,2,FALSE())*100</f>
        <v>2.02377855518046</v>
      </c>
      <c r="K110" s="2" t="s">
        <v>27</v>
      </c>
      <c r="L110" s="2" t="s">
        <v>28</v>
      </c>
      <c r="M110" s="7" t="str">
        <f aca="false">IF(F110&gt;=G110,"Captura silvestre","Acuicultura")</f>
        <v>Captura silvestre</v>
      </c>
      <c r="N110" s="6" t="n">
        <f aca="false">(H110-H109)/H109*100</f>
        <v>0.482251377106251</v>
      </c>
      <c r="O110" s="8" t="s">
        <v>19</v>
      </c>
    </row>
    <row r="111" customFormat="false" ht="15" hidden="false" customHeight="false" outlineLevel="0" collapsed="false">
      <c r="A111" s="2" t="s">
        <v>39</v>
      </c>
      <c r="B111" s="2" t="s">
        <v>34</v>
      </c>
      <c r="C111" s="2" t="n">
        <v>2013</v>
      </c>
      <c r="D111" s="3" t="n">
        <v>2385178</v>
      </c>
      <c r="E111" s="3" t="n">
        <v>28953</v>
      </c>
      <c r="F111" s="3" t="n">
        <v>2241396.6</v>
      </c>
      <c r="G111" s="3" t="n">
        <v>1247865.1</v>
      </c>
      <c r="H111" s="4" t="n">
        <f aca="false">F111+G111</f>
        <v>3489261.7</v>
      </c>
      <c r="I111" s="5" t="n">
        <f aca="false">H111/D111</f>
        <v>1.46289362890317</v>
      </c>
      <c r="J111" s="6" t="n">
        <f aca="false">H111/VLOOKUP(C111,Referencia_Mundial!$A:$B,2,FALSE())*100</f>
        <v>1.87584811347243</v>
      </c>
      <c r="K111" s="2" t="s">
        <v>27</v>
      </c>
      <c r="L111" s="2" t="s">
        <v>28</v>
      </c>
      <c r="M111" s="7" t="str">
        <f aca="false">IF(F111&gt;=G111,"Captura silvestre","Acuicultura")</f>
        <v>Captura silvestre</v>
      </c>
      <c r="N111" s="6" t="n">
        <f aca="false">(H111-H110)/H110*100</f>
        <v>-3.17734039084005</v>
      </c>
      <c r="O111" s="8" t="s">
        <v>19</v>
      </c>
    </row>
    <row r="112" customFormat="false" ht="15" hidden="false" customHeight="false" outlineLevel="0" collapsed="false">
      <c r="A112" s="2" t="s">
        <v>39</v>
      </c>
      <c r="B112" s="2" t="s">
        <v>34</v>
      </c>
      <c r="C112" s="2" t="n">
        <v>2014</v>
      </c>
      <c r="D112" s="3" t="n">
        <v>2385178</v>
      </c>
      <c r="E112" s="3" t="n">
        <v>28953</v>
      </c>
      <c r="F112" s="3" t="n">
        <v>2450364.1</v>
      </c>
      <c r="G112" s="3" t="n">
        <v>1332497</v>
      </c>
      <c r="H112" s="4" t="n">
        <f aca="false">F112+G112</f>
        <v>3782861.1</v>
      </c>
      <c r="I112" s="5" t="n">
        <f aca="false">H112/D112</f>
        <v>1.58598691586121</v>
      </c>
      <c r="J112" s="6" t="n">
        <f aca="false">H112/VLOOKUP(C112,Referencia_Mundial!$A:$B,2,FALSE())*100</f>
        <v>1.97891384176865</v>
      </c>
      <c r="K112" s="2" t="s">
        <v>27</v>
      </c>
      <c r="L112" s="2" t="s">
        <v>28</v>
      </c>
      <c r="M112" s="7" t="str">
        <f aca="false">IF(F112&gt;=G112,"Captura silvestre","Acuicultura")</f>
        <v>Captura silvestre</v>
      </c>
      <c r="N112" s="6" t="n">
        <f aca="false">(H112-H111)/H111*100</f>
        <v>8.41437029501112</v>
      </c>
      <c r="O112" s="8" t="s">
        <v>19</v>
      </c>
    </row>
    <row r="113" customFormat="false" ht="15" hidden="false" customHeight="false" outlineLevel="0" collapsed="false">
      <c r="A113" s="2" t="s">
        <v>39</v>
      </c>
      <c r="B113" s="2" t="s">
        <v>34</v>
      </c>
      <c r="C113" s="2" t="n">
        <v>2015</v>
      </c>
      <c r="D113" s="3" t="n">
        <v>2385178</v>
      </c>
      <c r="E113" s="3" t="n">
        <v>28953</v>
      </c>
      <c r="F113" s="3" t="n">
        <v>2452205.1</v>
      </c>
      <c r="G113" s="3" t="n">
        <v>1380890.1</v>
      </c>
      <c r="H113" s="4" t="n">
        <f aca="false">F113+G113</f>
        <v>3833095.2</v>
      </c>
      <c r="I113" s="5" t="n">
        <f aca="false">H113/D113</f>
        <v>1.60704785974045</v>
      </c>
      <c r="J113" s="6" t="n">
        <f aca="false">H113/VLOOKUP(C113,Referencia_Mundial!$A:$B,2,FALSE())*100</f>
        <v>1.94802883860328</v>
      </c>
      <c r="K113" s="2" t="s">
        <v>27</v>
      </c>
      <c r="L113" s="2" t="s">
        <v>28</v>
      </c>
      <c r="M113" s="7" t="str">
        <f aca="false">IF(F113&gt;=G113,"Captura silvestre","Acuicultura")</f>
        <v>Captura silvestre</v>
      </c>
      <c r="N113" s="6" t="n">
        <f aca="false">(H113-H112)/H112*100</f>
        <v>1.32793932084898</v>
      </c>
      <c r="O113" s="8" t="s">
        <v>19</v>
      </c>
    </row>
    <row r="114" customFormat="false" ht="15" hidden="false" customHeight="false" outlineLevel="0" collapsed="false">
      <c r="A114" s="2" t="s">
        <v>39</v>
      </c>
      <c r="B114" s="2" t="s">
        <v>34</v>
      </c>
      <c r="C114" s="2" t="n">
        <v>2016</v>
      </c>
      <c r="D114" s="3" t="n">
        <v>2385178</v>
      </c>
      <c r="E114" s="3" t="n">
        <v>28953</v>
      </c>
      <c r="F114" s="3" t="n">
        <v>2201292.7</v>
      </c>
      <c r="G114" s="3" t="n">
        <v>1326216.2</v>
      </c>
      <c r="H114" s="4" t="n">
        <f aca="false">F114+G114</f>
        <v>3527508.9</v>
      </c>
      <c r="I114" s="5" t="n">
        <f aca="false">H114/D114</f>
        <v>1.47892899397865</v>
      </c>
      <c r="J114" s="6" t="n">
        <f aca="false">H114/VLOOKUP(C114,Referencia_Mundial!$A:$B,2,FALSE())*100</f>
        <v>1.7729033004342</v>
      </c>
      <c r="K114" s="2" t="s">
        <v>27</v>
      </c>
      <c r="L114" s="2" t="s">
        <v>28</v>
      </c>
      <c r="M114" s="7" t="str">
        <f aca="false">IF(F114&gt;=G114,"Captura silvestre","Acuicultura")</f>
        <v>Captura silvestre</v>
      </c>
      <c r="N114" s="6" t="n">
        <f aca="false">(H114-H113)/H113*100</f>
        <v>-7.97231177561152</v>
      </c>
      <c r="O114" s="8" t="s">
        <v>19</v>
      </c>
    </row>
    <row r="115" customFormat="false" ht="15" hidden="false" customHeight="false" outlineLevel="0" collapsed="false">
      <c r="A115" s="2" t="s">
        <v>39</v>
      </c>
      <c r="B115" s="2" t="s">
        <v>34</v>
      </c>
      <c r="C115" s="2" t="n">
        <v>2017</v>
      </c>
      <c r="D115" s="3" t="n">
        <v>2385178</v>
      </c>
      <c r="E115" s="3" t="n">
        <v>28953</v>
      </c>
      <c r="F115" s="3" t="n">
        <v>2558757.6</v>
      </c>
      <c r="G115" s="3" t="n">
        <v>1308633.8</v>
      </c>
      <c r="H115" s="4" t="n">
        <f aca="false">F115+G115</f>
        <v>3867391.4</v>
      </c>
      <c r="I115" s="5" t="n">
        <f aca="false">H115/D115</f>
        <v>1.62142674467063</v>
      </c>
      <c r="J115" s="6" t="n">
        <f aca="false">H115/VLOOKUP(C115,Referencia_Mundial!$A:$B,2,FALSE())*100</f>
        <v>1.87124025165854</v>
      </c>
      <c r="K115" s="2" t="s">
        <v>27</v>
      </c>
      <c r="L115" s="2" t="s">
        <v>28</v>
      </c>
      <c r="M115" s="7" t="str">
        <f aca="false">IF(F115&gt;=G115,"Captura silvestre","Acuicultura")</f>
        <v>Captura silvestre</v>
      </c>
      <c r="N115" s="6" t="n">
        <f aca="false">(H115-H114)/H114*100</f>
        <v>9.63519893599701</v>
      </c>
      <c r="O115" s="8" t="s">
        <v>19</v>
      </c>
    </row>
    <row r="116" customFormat="false" ht="15" hidden="false" customHeight="false" outlineLevel="0" collapsed="false">
      <c r="A116" s="2" t="s">
        <v>39</v>
      </c>
      <c r="B116" s="2" t="s">
        <v>34</v>
      </c>
      <c r="C116" s="2" t="n">
        <v>2018</v>
      </c>
      <c r="D116" s="3" t="n">
        <v>2385178</v>
      </c>
      <c r="E116" s="3" t="n">
        <v>28953</v>
      </c>
      <c r="F116" s="3" t="n">
        <v>2665069.4</v>
      </c>
      <c r="G116" s="3" t="n">
        <v>1355116.8</v>
      </c>
      <c r="H116" s="4" t="n">
        <f aca="false">F116+G116</f>
        <v>4020186.2</v>
      </c>
      <c r="I116" s="5" t="n">
        <f aca="false">H116/D116</f>
        <v>1.6854868693238</v>
      </c>
      <c r="J116" s="6" t="n">
        <f aca="false">H116/VLOOKUP(C116,Referencia_Mundial!$A:$B,2,FALSE())*100</f>
        <v>1.88432754926578</v>
      </c>
      <c r="K116" s="2" t="s">
        <v>27</v>
      </c>
      <c r="L116" s="2" t="s">
        <v>28</v>
      </c>
      <c r="M116" s="7" t="str">
        <f aca="false">IF(F116&gt;=G116,"Captura silvestre","Acuicultura")</f>
        <v>Captura silvestre</v>
      </c>
      <c r="N116" s="6" t="n">
        <f aca="false">(H116-H115)/H115*100</f>
        <v>3.95084914343037</v>
      </c>
      <c r="O116" s="8" t="s">
        <v>19</v>
      </c>
    </row>
    <row r="117" customFormat="false" ht="15" hidden="false" customHeight="false" outlineLevel="0" collapsed="false">
      <c r="A117" s="2" t="s">
        <v>39</v>
      </c>
      <c r="B117" s="2" t="s">
        <v>34</v>
      </c>
      <c r="C117" s="2" t="n">
        <v>2019</v>
      </c>
      <c r="D117" s="3" t="n">
        <v>2385178</v>
      </c>
      <c r="E117" s="3" t="n">
        <v>28953</v>
      </c>
      <c r="F117" s="3" t="n">
        <v>2478585.8</v>
      </c>
      <c r="G117" s="3" t="n">
        <v>1453042.4</v>
      </c>
      <c r="H117" s="4" t="n">
        <f aca="false">F117+G117</f>
        <v>3931628.2</v>
      </c>
      <c r="I117" s="5" t="n">
        <f aca="false">H117/D117</f>
        <v>1.64835840343991</v>
      </c>
      <c r="J117" s="6" t="n">
        <f aca="false">H117/VLOOKUP(C117,Referencia_Mundial!$A:$B,2,FALSE())*100</f>
        <v>1.84430466687331</v>
      </c>
      <c r="K117" s="2" t="s">
        <v>27</v>
      </c>
      <c r="L117" s="2" t="s">
        <v>28</v>
      </c>
      <c r="M117" s="7" t="str">
        <f aca="false">IF(F117&gt;=G117,"Captura silvestre","Acuicultura")</f>
        <v>Captura silvestre</v>
      </c>
      <c r="N117" s="6" t="n">
        <f aca="false">(H117-H116)/H116*100</f>
        <v>-2.20283329165203</v>
      </c>
      <c r="O117" s="8" t="s">
        <v>19</v>
      </c>
    </row>
    <row r="118" customFormat="false" ht="15" hidden="false" customHeight="false" outlineLevel="0" collapsed="false">
      <c r="A118" s="2" t="s">
        <v>39</v>
      </c>
      <c r="B118" s="2" t="s">
        <v>34</v>
      </c>
      <c r="C118" s="2" t="n">
        <v>2020</v>
      </c>
      <c r="D118" s="3" t="n">
        <v>2385178</v>
      </c>
      <c r="E118" s="3" t="n">
        <v>28953</v>
      </c>
      <c r="F118" s="3" t="n">
        <v>2625367.7</v>
      </c>
      <c r="G118" s="3" t="n">
        <v>1490412</v>
      </c>
      <c r="H118" s="4" t="n">
        <f aca="false">F118+G118</f>
        <v>4115779.7</v>
      </c>
      <c r="I118" s="5" t="n">
        <f aca="false">H118/D118</f>
        <v>1.72556501024242</v>
      </c>
      <c r="J118" s="6" t="n">
        <f aca="false">H118/VLOOKUP(C118,Referencia_Mundial!$A:$B,2,FALSE())*100</f>
        <v>1.92781148836604</v>
      </c>
      <c r="K118" s="2" t="s">
        <v>27</v>
      </c>
      <c r="L118" s="2" t="s">
        <v>28</v>
      </c>
      <c r="M118" s="7" t="str">
        <f aca="false">IF(F118&gt;=G118,"Captura silvestre","Acuicultura")</f>
        <v>Captura silvestre</v>
      </c>
      <c r="N118" s="6" t="n">
        <f aca="false">(H118-H117)/H117*100</f>
        <v>4.68384828453516</v>
      </c>
      <c r="O118" s="8" t="s">
        <v>19</v>
      </c>
    </row>
    <row r="119" customFormat="false" ht="15" hidden="false" customHeight="false" outlineLevel="0" collapsed="false">
      <c r="A119" s="2" t="s">
        <v>39</v>
      </c>
      <c r="B119" s="2" t="s">
        <v>34</v>
      </c>
      <c r="C119" s="2" t="n">
        <v>2021</v>
      </c>
      <c r="D119" s="3" t="n">
        <v>2385178</v>
      </c>
      <c r="E119" s="3" t="n">
        <v>28953</v>
      </c>
      <c r="F119" s="3" t="n">
        <v>2579735.6</v>
      </c>
      <c r="G119" s="3" t="n">
        <v>1665112</v>
      </c>
      <c r="H119" s="4" t="n">
        <f aca="false">F119+G119</f>
        <v>4244847.6</v>
      </c>
      <c r="I119" s="5" t="n">
        <f aca="false">H119/D119</f>
        <v>1.77967749157505</v>
      </c>
      <c r="J119" s="6" t="n">
        <f aca="false">H119/VLOOKUP(C119,Referencia_Mundial!$A:$B,2,FALSE())*100</f>
        <v>1.93840567917472</v>
      </c>
      <c r="K119" s="2" t="s">
        <v>27</v>
      </c>
      <c r="L119" s="2" t="s">
        <v>28</v>
      </c>
      <c r="M119" s="7" t="str">
        <f aca="false">IF(F119&gt;=G119,"Captura silvestre","Acuicultura")</f>
        <v>Captura silvestre</v>
      </c>
      <c r="N119" s="6" t="n">
        <f aca="false">(H119-H118)/H118*100</f>
        <v>3.13592829081691</v>
      </c>
      <c r="O119" s="8" t="s">
        <v>19</v>
      </c>
    </row>
    <row r="120" customFormat="false" ht="15" hidden="false" customHeight="false" outlineLevel="0" collapsed="false">
      <c r="A120" s="2" t="s">
        <v>39</v>
      </c>
      <c r="B120" s="2" t="s">
        <v>34</v>
      </c>
      <c r="C120" s="2" t="n">
        <v>2022</v>
      </c>
      <c r="D120" s="3" t="n">
        <v>2385178</v>
      </c>
      <c r="E120" s="3" t="n">
        <v>28953</v>
      </c>
      <c r="F120" s="3" t="n">
        <v>2613634.4</v>
      </c>
      <c r="G120" s="3" t="n">
        <v>1661740.4</v>
      </c>
      <c r="H120" s="4" t="n">
        <f aca="false">F120+G120</f>
        <v>4275374.8</v>
      </c>
      <c r="I120" s="5" t="n">
        <f aca="false">H120/D120</f>
        <v>1.79247620093762</v>
      </c>
      <c r="J120" s="6" t="n">
        <f aca="false">H120/VLOOKUP(C120,Referencia_Mundial!$A:$B,2,FALSE())*100</f>
        <v>1.91641425375692</v>
      </c>
      <c r="K120" s="2" t="s">
        <v>27</v>
      </c>
      <c r="L120" s="2" t="s">
        <v>28</v>
      </c>
      <c r="M120" s="7" t="str">
        <f aca="false">IF(F120&gt;=G120,"Captura silvestre","Acuicultura")</f>
        <v>Captura silvestre</v>
      </c>
      <c r="N120" s="6" t="n">
        <f aca="false">(H120-H119)/H119*100</f>
        <v>0.719158916329533</v>
      </c>
      <c r="O120" s="8" t="s">
        <v>19</v>
      </c>
    </row>
    <row r="121" customFormat="false" ht="15" hidden="false" customHeight="false" outlineLevel="0" collapsed="false">
      <c r="A121" s="2" t="s">
        <v>39</v>
      </c>
      <c r="B121" s="2" t="s">
        <v>34</v>
      </c>
      <c r="C121" s="2" t="n">
        <v>2023</v>
      </c>
      <c r="D121" s="3" t="n">
        <v>2385178</v>
      </c>
      <c r="E121" s="3" t="n">
        <v>28953</v>
      </c>
      <c r="F121" s="3" t="n">
        <v>2543993.2</v>
      </c>
      <c r="G121" s="3" t="n">
        <v>1649984.2</v>
      </c>
      <c r="H121" s="4" t="n">
        <f aca="false">F121+G121</f>
        <v>4193977.4</v>
      </c>
      <c r="I121" s="5" t="n">
        <f aca="false">H121/D121</f>
        <v>1.75834985900423</v>
      </c>
      <c r="J121" s="6" t="n">
        <f aca="false">H121/VLOOKUP(C121,Referencia_Mundial!$A:$B,2,FALSE())*100</f>
        <v>1.84024341669565</v>
      </c>
      <c r="K121" s="2" t="s">
        <v>27</v>
      </c>
      <c r="L121" s="2" t="s">
        <v>28</v>
      </c>
      <c r="M121" s="7" t="str">
        <f aca="false">IF(F121&gt;=G121,"Captura silvestre","Acuicultura")</f>
        <v>Captura silvestre</v>
      </c>
      <c r="N121" s="6" t="n">
        <f aca="false">(H121-H120)/H120*100</f>
        <v>-1.90386583183302</v>
      </c>
      <c r="O121" s="8" t="s">
        <v>19</v>
      </c>
    </row>
    <row r="122" customFormat="false" ht="15" hidden="false" customHeight="false" outlineLevel="0" collapsed="false">
      <c r="A122" s="2" t="s">
        <v>40</v>
      </c>
      <c r="B122" s="2" t="s">
        <v>16</v>
      </c>
      <c r="C122" s="2" t="n">
        <v>2000</v>
      </c>
      <c r="D122" s="3" t="n">
        <v>906454</v>
      </c>
      <c r="E122" s="3" t="n">
        <v>2414</v>
      </c>
      <c r="F122" s="3" t="n">
        <v>10658577</v>
      </c>
      <c r="G122" s="3" t="n">
        <v>6596</v>
      </c>
      <c r="H122" s="4" t="n">
        <f aca="false">F122+G122</f>
        <v>10665173</v>
      </c>
      <c r="I122" s="5" t="n">
        <f aca="false">H122/D122</f>
        <v>11.7658182323648</v>
      </c>
      <c r="J122" s="6" t="n">
        <f aca="false">H122/VLOOKUP(C122,Referencia_Mundial!$A:$B,2,FALSE())*100</f>
        <v>7.74005019132525</v>
      </c>
      <c r="K122" s="2" t="s">
        <v>23</v>
      </c>
      <c r="L122" s="2" t="s">
        <v>24</v>
      </c>
      <c r="M122" s="7" t="str">
        <f aca="false">IF(F122&gt;=G122,"Captura silvestre","Acuicultura")</f>
        <v>Captura silvestre</v>
      </c>
      <c r="N122" s="6"/>
      <c r="O122" s="8" t="s">
        <v>19</v>
      </c>
    </row>
    <row r="123" customFormat="false" ht="15" hidden="false" customHeight="false" outlineLevel="0" collapsed="false">
      <c r="A123" s="2" t="s">
        <v>40</v>
      </c>
      <c r="B123" s="2" t="s">
        <v>16</v>
      </c>
      <c r="C123" s="2" t="n">
        <v>2001</v>
      </c>
      <c r="D123" s="3" t="n">
        <v>906454</v>
      </c>
      <c r="E123" s="3" t="n">
        <v>2414</v>
      </c>
      <c r="F123" s="3" t="n">
        <v>7991712</v>
      </c>
      <c r="G123" s="3" t="n">
        <v>7551</v>
      </c>
      <c r="H123" s="4" t="n">
        <f aca="false">F123+G123</f>
        <v>7999263</v>
      </c>
      <c r="I123" s="5" t="n">
        <f aca="false">H123/D123</f>
        <v>8.82478647565127</v>
      </c>
      <c r="J123" s="6" t="n">
        <f aca="false">H123/VLOOKUP(C123,Referencia_Mundial!$A:$B,2,FALSE())*100</f>
        <v>5.81569275899488</v>
      </c>
      <c r="K123" s="2" t="s">
        <v>23</v>
      </c>
      <c r="L123" s="2" t="s">
        <v>24</v>
      </c>
      <c r="M123" s="7" t="str">
        <f aca="false">IF(F123&gt;=G123,"Captura silvestre","Acuicultura")</f>
        <v>Captura silvestre</v>
      </c>
      <c r="N123" s="6" t="n">
        <f aca="false">(H123-H122)/H122*100</f>
        <v>-24.9964065280516</v>
      </c>
      <c r="O123" s="8" t="s">
        <v>19</v>
      </c>
    </row>
    <row r="124" customFormat="false" ht="15" hidden="false" customHeight="false" outlineLevel="0" collapsed="false">
      <c r="A124" s="2" t="s">
        <v>40</v>
      </c>
      <c r="B124" s="2" t="s">
        <v>16</v>
      </c>
      <c r="C124" s="2" t="n">
        <v>2002</v>
      </c>
      <c r="D124" s="3" t="n">
        <v>906454</v>
      </c>
      <c r="E124" s="3" t="n">
        <v>2414</v>
      </c>
      <c r="F124" s="3" t="n">
        <v>8771365</v>
      </c>
      <c r="G124" s="3" t="n">
        <v>11532</v>
      </c>
      <c r="H124" s="4" t="n">
        <f aca="false">F124+G124</f>
        <v>8782897</v>
      </c>
      <c r="I124" s="5" t="n">
        <f aca="false">H124/D124</f>
        <v>9.68929145880541</v>
      </c>
      <c r="J124" s="6" t="n">
        <f aca="false">H124/VLOOKUP(C124,Referencia_Mundial!$A:$B,2,FALSE())*100</f>
        <v>6.22818407631709</v>
      </c>
      <c r="K124" s="2" t="s">
        <v>23</v>
      </c>
      <c r="L124" s="2" t="s">
        <v>24</v>
      </c>
      <c r="M124" s="7" t="str">
        <f aca="false">IF(F124&gt;=G124,"Captura silvestre","Acuicultura")</f>
        <v>Captura silvestre</v>
      </c>
      <c r="N124" s="6" t="n">
        <f aca="false">(H124-H123)/H123*100</f>
        <v>9.79632748666971</v>
      </c>
      <c r="O124" s="8" t="s">
        <v>19</v>
      </c>
    </row>
    <row r="125" customFormat="false" ht="15" hidden="false" customHeight="false" outlineLevel="0" collapsed="false">
      <c r="A125" s="2" t="s">
        <v>40</v>
      </c>
      <c r="B125" s="2" t="s">
        <v>16</v>
      </c>
      <c r="C125" s="2" t="n">
        <v>2003</v>
      </c>
      <c r="D125" s="3" t="n">
        <v>906454</v>
      </c>
      <c r="E125" s="3" t="n">
        <v>2414</v>
      </c>
      <c r="F125" s="3" t="n">
        <v>6093924</v>
      </c>
      <c r="G125" s="3" t="n">
        <v>13621</v>
      </c>
      <c r="H125" s="4" t="n">
        <f aca="false">F125+G125</f>
        <v>6107545</v>
      </c>
      <c r="I125" s="5" t="n">
        <f aca="false">H125/D125</f>
        <v>6.73784328824188</v>
      </c>
      <c r="J125" s="6" t="n">
        <f aca="false">H125/VLOOKUP(C125,Referencia_Mundial!$A:$B,2,FALSE())*100</f>
        <v>4.32732354114877</v>
      </c>
      <c r="K125" s="2" t="s">
        <v>23</v>
      </c>
      <c r="L125" s="2" t="s">
        <v>24</v>
      </c>
      <c r="M125" s="7" t="str">
        <f aca="false">IF(F125&gt;=G125,"Captura silvestre","Acuicultura")</f>
        <v>Captura silvestre</v>
      </c>
      <c r="N125" s="6" t="n">
        <f aca="false">(H125-H124)/H124*100</f>
        <v>-30.4609287801052</v>
      </c>
      <c r="O125" s="8" t="s">
        <v>19</v>
      </c>
    </row>
    <row r="126" customFormat="false" ht="15" hidden="false" customHeight="false" outlineLevel="0" collapsed="false">
      <c r="A126" s="2" t="s">
        <v>40</v>
      </c>
      <c r="B126" s="2" t="s">
        <v>16</v>
      </c>
      <c r="C126" s="2" t="n">
        <v>2004</v>
      </c>
      <c r="D126" s="3" t="n">
        <v>906454</v>
      </c>
      <c r="E126" s="3" t="n">
        <v>2414</v>
      </c>
      <c r="F126" s="3" t="n">
        <v>9611945</v>
      </c>
      <c r="G126" s="3" t="n">
        <v>22114</v>
      </c>
      <c r="H126" s="4" t="n">
        <f aca="false">F126+G126</f>
        <v>9634059</v>
      </c>
      <c r="I126" s="5" t="n">
        <f aca="false">H126/D126</f>
        <v>10.6282933276261</v>
      </c>
      <c r="J126" s="6" t="n">
        <f aca="false">H126/VLOOKUP(C126,Referencia_Mundial!$A:$B,2,FALSE())*100</f>
        <v>6.42091518158587</v>
      </c>
      <c r="K126" s="2" t="s">
        <v>23</v>
      </c>
      <c r="L126" s="2" t="s">
        <v>24</v>
      </c>
      <c r="M126" s="7" t="str">
        <f aca="false">IF(F126&gt;=G126,"Captura silvestre","Acuicultura")</f>
        <v>Captura silvestre</v>
      </c>
      <c r="N126" s="6" t="n">
        <f aca="false">(H126-H125)/H125*100</f>
        <v>57.7402868091844</v>
      </c>
      <c r="O126" s="8" t="s">
        <v>19</v>
      </c>
    </row>
    <row r="127" customFormat="false" ht="15" hidden="false" customHeight="false" outlineLevel="0" collapsed="false">
      <c r="A127" s="2" t="s">
        <v>40</v>
      </c>
      <c r="B127" s="2" t="s">
        <v>16</v>
      </c>
      <c r="C127" s="2" t="n">
        <v>2005</v>
      </c>
      <c r="D127" s="3" t="n">
        <v>906454</v>
      </c>
      <c r="E127" s="3" t="n">
        <v>2414</v>
      </c>
      <c r="F127" s="3" t="n">
        <v>9393488</v>
      </c>
      <c r="G127" s="3" t="n">
        <v>25981</v>
      </c>
      <c r="H127" s="4" t="n">
        <f aca="false">F127+G127</f>
        <v>9419469</v>
      </c>
      <c r="I127" s="5" t="n">
        <f aca="false">H127/D127</f>
        <v>10.3915576521258</v>
      </c>
      <c r="J127" s="6" t="n">
        <f aca="false">H127/VLOOKUP(C127,Referencia_Mundial!$A:$B,2,FALSE())*100</f>
        <v>6.15938709443057</v>
      </c>
      <c r="K127" s="2" t="s">
        <v>23</v>
      </c>
      <c r="L127" s="2" t="s">
        <v>24</v>
      </c>
      <c r="M127" s="7" t="str">
        <f aca="false">IF(F127&gt;=G127,"Captura silvestre","Acuicultura")</f>
        <v>Captura silvestre</v>
      </c>
      <c r="N127" s="6" t="n">
        <f aca="false">(H127-H126)/H126*100</f>
        <v>-2.22741006672266</v>
      </c>
      <c r="O127" s="8" t="s">
        <v>19</v>
      </c>
    </row>
    <row r="128" customFormat="false" ht="15" hidden="false" customHeight="false" outlineLevel="0" collapsed="false">
      <c r="A128" s="2" t="s">
        <v>40</v>
      </c>
      <c r="B128" s="2" t="s">
        <v>16</v>
      </c>
      <c r="C128" s="2" t="n">
        <v>2006</v>
      </c>
      <c r="D128" s="3" t="n">
        <v>906454</v>
      </c>
      <c r="E128" s="3" t="n">
        <v>2414</v>
      </c>
      <c r="F128" s="3" t="n">
        <v>7020925</v>
      </c>
      <c r="G128" s="3" t="n">
        <v>28393</v>
      </c>
      <c r="H128" s="4" t="n">
        <f aca="false">F128+G128</f>
        <v>7049318</v>
      </c>
      <c r="I128" s="5" t="n">
        <f aca="false">H128/D128</f>
        <v>7.77680720698458</v>
      </c>
      <c r="J128" s="6" t="n">
        <f aca="false">H128/VLOOKUP(C128,Referencia_Mundial!$A:$B,2,FALSE())*100</f>
        <v>4.56948760385165</v>
      </c>
      <c r="K128" s="2" t="s">
        <v>23</v>
      </c>
      <c r="L128" s="2" t="s">
        <v>24</v>
      </c>
      <c r="M128" s="7" t="str">
        <f aca="false">IF(F128&gt;=G128,"Captura silvestre","Acuicultura")</f>
        <v>Captura silvestre</v>
      </c>
      <c r="N128" s="6" t="n">
        <f aca="false">(H128-H127)/H127*100</f>
        <v>-25.1622570231931</v>
      </c>
      <c r="O128" s="8" t="s">
        <v>19</v>
      </c>
    </row>
    <row r="129" customFormat="false" ht="15" hidden="false" customHeight="false" outlineLevel="0" collapsed="false">
      <c r="A129" s="2" t="s">
        <v>40</v>
      </c>
      <c r="B129" s="2" t="s">
        <v>16</v>
      </c>
      <c r="C129" s="2" t="n">
        <v>2007</v>
      </c>
      <c r="D129" s="3" t="n">
        <v>906454</v>
      </c>
      <c r="E129" s="3" t="n">
        <v>2414</v>
      </c>
      <c r="F129" s="3" t="n">
        <v>7221330</v>
      </c>
      <c r="G129" s="3" t="n">
        <v>39531</v>
      </c>
      <c r="H129" s="4" t="n">
        <f aca="false">F129+G129</f>
        <v>7260861</v>
      </c>
      <c r="I129" s="5" t="n">
        <f aca="false">H129/D129</f>
        <v>8.01018143226242</v>
      </c>
      <c r="J129" s="6" t="n">
        <f aca="false">H129/VLOOKUP(C129,Referencia_Mundial!$A:$B,2,FALSE())*100</f>
        <v>4.59564392107232</v>
      </c>
      <c r="K129" s="2" t="s">
        <v>23</v>
      </c>
      <c r="L129" s="2" t="s">
        <v>24</v>
      </c>
      <c r="M129" s="7" t="str">
        <f aca="false">IF(F129&gt;=G129,"Captura silvestre","Acuicultura")</f>
        <v>Captura silvestre</v>
      </c>
      <c r="N129" s="6" t="n">
        <f aca="false">(H129-H128)/H128*100</f>
        <v>3.00090022892995</v>
      </c>
      <c r="O129" s="8" t="s">
        <v>19</v>
      </c>
    </row>
    <row r="130" customFormat="false" ht="15" hidden="false" customHeight="false" outlineLevel="0" collapsed="false">
      <c r="A130" s="2" t="s">
        <v>40</v>
      </c>
      <c r="B130" s="2" t="s">
        <v>16</v>
      </c>
      <c r="C130" s="2" t="n">
        <v>2008</v>
      </c>
      <c r="D130" s="3" t="n">
        <v>906454</v>
      </c>
      <c r="E130" s="3" t="n">
        <v>2414</v>
      </c>
      <c r="F130" s="3" t="n">
        <v>7408317</v>
      </c>
      <c r="G130" s="3" t="n">
        <v>43120</v>
      </c>
      <c r="H130" s="4" t="n">
        <f aca="false">F130+G130</f>
        <v>7451437</v>
      </c>
      <c r="I130" s="5" t="n">
        <f aca="false">H130/D130</f>
        <v>8.22042486436157</v>
      </c>
      <c r="J130" s="6" t="n">
        <f aca="false">H130/VLOOKUP(C130,Referencia_Mundial!$A:$B,2,FALSE())*100</f>
        <v>4.62814635510645</v>
      </c>
      <c r="K130" s="2" t="s">
        <v>23</v>
      </c>
      <c r="L130" s="2" t="s">
        <v>24</v>
      </c>
      <c r="M130" s="7" t="str">
        <f aca="false">IF(F130&gt;=G130,"Captura silvestre","Acuicultura")</f>
        <v>Captura silvestre</v>
      </c>
      <c r="N130" s="6" t="n">
        <f aca="false">(H130-H129)/H129*100</f>
        <v>2.62470249740354</v>
      </c>
      <c r="O130" s="8" t="s">
        <v>19</v>
      </c>
    </row>
    <row r="131" customFormat="false" ht="15" hidden="false" customHeight="false" outlineLevel="0" collapsed="false">
      <c r="A131" s="2" t="s">
        <v>40</v>
      </c>
      <c r="B131" s="2" t="s">
        <v>16</v>
      </c>
      <c r="C131" s="2" t="n">
        <v>2009</v>
      </c>
      <c r="D131" s="3" t="n">
        <v>906454</v>
      </c>
      <c r="E131" s="3" t="n">
        <v>2414</v>
      </c>
      <c r="F131" s="3" t="n">
        <v>6933455</v>
      </c>
      <c r="G131" s="3" t="n">
        <v>44317</v>
      </c>
      <c r="H131" s="4" t="n">
        <f aca="false">F131+G131</f>
        <v>6977772</v>
      </c>
      <c r="I131" s="5" t="n">
        <f aca="false">H131/D131</f>
        <v>7.69787766395206</v>
      </c>
      <c r="J131" s="6" t="n">
        <f aca="false">H131/VLOOKUP(C131,Referencia_Mundial!$A:$B,2,FALSE())*100</f>
        <v>4.25393770176718</v>
      </c>
      <c r="K131" s="2" t="s">
        <v>23</v>
      </c>
      <c r="L131" s="2" t="s">
        <v>24</v>
      </c>
      <c r="M131" s="7" t="str">
        <f aca="false">IF(F131&gt;=G131,"Captura silvestre","Acuicultura")</f>
        <v>Captura silvestre</v>
      </c>
      <c r="N131" s="6" t="n">
        <f aca="false">(H131-H130)/H130*100</f>
        <v>-6.35669334653168</v>
      </c>
      <c r="O131" s="8" t="s">
        <v>19</v>
      </c>
    </row>
    <row r="132" customFormat="false" ht="15" hidden="false" customHeight="false" outlineLevel="0" collapsed="false">
      <c r="A132" s="2" t="s">
        <v>40</v>
      </c>
      <c r="B132" s="2" t="s">
        <v>16</v>
      </c>
      <c r="C132" s="2" t="n">
        <v>2010</v>
      </c>
      <c r="D132" s="3" t="n">
        <v>906454</v>
      </c>
      <c r="E132" s="3" t="n">
        <v>2414</v>
      </c>
      <c r="F132" s="3" t="n">
        <v>4305975</v>
      </c>
      <c r="G132" s="3" t="n">
        <v>89021</v>
      </c>
      <c r="H132" s="4" t="n">
        <f aca="false">F132+G132</f>
        <v>4394996</v>
      </c>
      <c r="I132" s="5" t="n">
        <f aca="false">H132/D132</f>
        <v>4.84855933119607</v>
      </c>
      <c r="J132" s="6" t="n">
        <f aca="false">H132/VLOOKUP(C132,Referencia_Mundial!$A:$B,2,FALSE())*100</f>
        <v>2.64275212869993</v>
      </c>
      <c r="K132" s="2" t="s">
        <v>23</v>
      </c>
      <c r="L132" s="2" t="s">
        <v>24</v>
      </c>
      <c r="M132" s="7" t="str">
        <f aca="false">IF(F132&gt;=G132,"Captura silvestre","Acuicultura")</f>
        <v>Captura silvestre</v>
      </c>
      <c r="N132" s="6" t="n">
        <f aca="false">(H132-H131)/H131*100</f>
        <v>-37.0143363812976</v>
      </c>
      <c r="O132" s="8" t="s">
        <v>19</v>
      </c>
    </row>
    <row r="133" customFormat="false" ht="15" hidden="false" customHeight="false" outlineLevel="0" collapsed="false">
      <c r="A133" s="2" t="s">
        <v>40</v>
      </c>
      <c r="B133" s="2" t="s">
        <v>16</v>
      </c>
      <c r="C133" s="2" t="n">
        <v>2011</v>
      </c>
      <c r="D133" s="3" t="n">
        <v>906454</v>
      </c>
      <c r="E133" s="3" t="n">
        <v>2414</v>
      </c>
      <c r="F133" s="3" t="n">
        <v>8254957</v>
      </c>
      <c r="G133" s="3" t="n">
        <v>92200.4</v>
      </c>
      <c r="H133" s="4" t="n">
        <f aca="false">F133+G133</f>
        <v>8347157.4</v>
      </c>
      <c r="I133" s="5" t="n">
        <f aca="false">H133/D133</f>
        <v>9.20858355746679</v>
      </c>
      <c r="J133" s="6" t="n">
        <f aca="false">H133/VLOOKUP(C133,Referencia_Mundial!$A:$B,2,FALSE())*100</f>
        <v>4.78697416687992</v>
      </c>
      <c r="K133" s="2" t="s">
        <v>23</v>
      </c>
      <c r="L133" s="2" t="s">
        <v>24</v>
      </c>
      <c r="M133" s="7" t="str">
        <f aca="false">IF(F133&gt;=G133,"Captura silvestre","Acuicultura")</f>
        <v>Captura silvestre</v>
      </c>
      <c r="N133" s="6" t="n">
        <f aca="false">(H133-H132)/H132*100</f>
        <v>89.9241182472066</v>
      </c>
      <c r="O133" s="8" t="s">
        <v>19</v>
      </c>
    </row>
    <row r="134" customFormat="false" ht="15" hidden="false" customHeight="false" outlineLevel="0" collapsed="false">
      <c r="A134" s="2" t="s">
        <v>40</v>
      </c>
      <c r="B134" s="2" t="s">
        <v>16</v>
      </c>
      <c r="C134" s="2" t="n">
        <v>2012</v>
      </c>
      <c r="D134" s="3" t="n">
        <v>906454</v>
      </c>
      <c r="E134" s="3" t="n">
        <v>2414</v>
      </c>
      <c r="F134" s="3" t="n">
        <v>4852760</v>
      </c>
      <c r="G134" s="3" t="n">
        <v>72292.9</v>
      </c>
      <c r="H134" s="4" t="n">
        <f aca="false">F134+G134</f>
        <v>4925052.9</v>
      </c>
      <c r="I134" s="5" t="n">
        <f aca="false">H134/D134</f>
        <v>5.43331807240081</v>
      </c>
      <c r="J134" s="6" t="n">
        <f aca="false">H134/VLOOKUP(C134,Referencia_Mundial!$A:$B,2,FALSE())*100</f>
        <v>2.7657782299019</v>
      </c>
      <c r="K134" s="2" t="s">
        <v>23</v>
      </c>
      <c r="L134" s="2" t="s">
        <v>24</v>
      </c>
      <c r="M134" s="7" t="str">
        <f aca="false">IF(F134&gt;=G134,"Captura silvestre","Acuicultura")</f>
        <v>Captura silvestre</v>
      </c>
      <c r="N134" s="6" t="n">
        <f aca="false">(H134-H133)/H133*100</f>
        <v>-40.9972441636239</v>
      </c>
      <c r="O134" s="8" t="s">
        <v>19</v>
      </c>
    </row>
    <row r="135" customFormat="false" ht="15" hidden="false" customHeight="false" outlineLevel="0" collapsed="false">
      <c r="A135" s="2" t="s">
        <v>40</v>
      </c>
      <c r="B135" s="2" t="s">
        <v>16</v>
      </c>
      <c r="C135" s="2" t="n">
        <v>2013</v>
      </c>
      <c r="D135" s="3" t="n">
        <v>906454</v>
      </c>
      <c r="E135" s="3" t="n">
        <v>2414</v>
      </c>
      <c r="F135" s="3" t="n">
        <v>5876493</v>
      </c>
      <c r="G135" s="3" t="n">
        <v>125692.9</v>
      </c>
      <c r="H135" s="4" t="n">
        <f aca="false">F135+G135</f>
        <v>6002185.9</v>
      </c>
      <c r="I135" s="5" t="n">
        <f aca="false">H135/D135</f>
        <v>6.62161113525893</v>
      </c>
      <c r="J135" s="6" t="n">
        <f aca="false">H135/VLOOKUP(C135,Referencia_Mundial!$A:$B,2,FALSE())*100</f>
        <v>3.22681130430136</v>
      </c>
      <c r="K135" s="2" t="s">
        <v>23</v>
      </c>
      <c r="L135" s="2" t="s">
        <v>24</v>
      </c>
      <c r="M135" s="7" t="str">
        <f aca="false">IF(F135&gt;=G135,"Captura silvestre","Acuicultura")</f>
        <v>Captura silvestre</v>
      </c>
      <c r="N135" s="6" t="n">
        <f aca="false">(H135-H134)/H134*100</f>
        <v>21.8704858987403</v>
      </c>
      <c r="O135" s="8" t="s">
        <v>19</v>
      </c>
    </row>
    <row r="136" customFormat="false" ht="15" hidden="false" customHeight="false" outlineLevel="0" collapsed="false">
      <c r="A136" s="2" t="s">
        <v>40</v>
      </c>
      <c r="B136" s="2" t="s">
        <v>16</v>
      </c>
      <c r="C136" s="2" t="n">
        <v>2014</v>
      </c>
      <c r="D136" s="3" t="n">
        <v>906454</v>
      </c>
      <c r="E136" s="3" t="n">
        <v>2414</v>
      </c>
      <c r="F136" s="3" t="n">
        <v>3599053</v>
      </c>
      <c r="G136" s="3" t="n">
        <v>115271.4</v>
      </c>
      <c r="H136" s="4" t="n">
        <f aca="false">F136+G136</f>
        <v>3714324.4</v>
      </c>
      <c r="I136" s="5" t="n">
        <f aca="false">H136/D136</f>
        <v>4.09764246172448</v>
      </c>
      <c r="J136" s="6" t="n">
        <f aca="false">H136/VLOOKUP(C136,Referencia_Mundial!$A:$B,2,FALSE())*100</f>
        <v>1.94306049671743</v>
      </c>
      <c r="K136" s="2" t="s">
        <v>23</v>
      </c>
      <c r="L136" s="2" t="s">
        <v>24</v>
      </c>
      <c r="M136" s="7" t="str">
        <f aca="false">IF(F136&gt;=G136,"Captura silvestre","Acuicultura")</f>
        <v>Captura silvestre</v>
      </c>
      <c r="N136" s="6" t="n">
        <f aca="false">(H136-H135)/H135*100</f>
        <v>-38.1171382912349</v>
      </c>
      <c r="O136" s="8" t="s">
        <v>19</v>
      </c>
    </row>
    <row r="137" customFormat="false" ht="15" hidden="false" customHeight="false" outlineLevel="0" collapsed="false">
      <c r="A137" s="2" t="s">
        <v>40</v>
      </c>
      <c r="B137" s="2" t="s">
        <v>16</v>
      </c>
      <c r="C137" s="2" t="n">
        <v>2015</v>
      </c>
      <c r="D137" s="3" t="n">
        <v>906454</v>
      </c>
      <c r="E137" s="3" t="n">
        <v>2414</v>
      </c>
      <c r="F137" s="3" t="n">
        <v>4843860</v>
      </c>
      <c r="G137" s="3" t="n">
        <v>90976.5</v>
      </c>
      <c r="H137" s="4" t="n">
        <f aca="false">F137+G137</f>
        <v>4934836.5</v>
      </c>
      <c r="I137" s="5" t="n">
        <f aca="false">H137/D137</f>
        <v>5.44411133935092</v>
      </c>
      <c r="J137" s="6" t="n">
        <f aca="false">H137/VLOOKUP(C137,Referencia_Mundial!$A:$B,2,FALSE())*100</f>
        <v>2.50794809786934</v>
      </c>
      <c r="K137" s="2" t="s">
        <v>23</v>
      </c>
      <c r="L137" s="2" t="s">
        <v>24</v>
      </c>
      <c r="M137" s="7" t="str">
        <f aca="false">IF(F137&gt;=G137,"Captura silvestre","Acuicultura")</f>
        <v>Captura silvestre</v>
      </c>
      <c r="N137" s="6" t="n">
        <f aca="false">(H137-H136)/H136*100</f>
        <v>32.8595989084852</v>
      </c>
      <c r="O137" s="8" t="s">
        <v>19</v>
      </c>
    </row>
    <row r="138" customFormat="false" ht="15" hidden="false" customHeight="false" outlineLevel="0" collapsed="false">
      <c r="A138" s="2" t="s">
        <v>40</v>
      </c>
      <c r="B138" s="2" t="s">
        <v>16</v>
      </c>
      <c r="C138" s="2" t="n">
        <v>2016</v>
      </c>
      <c r="D138" s="3" t="n">
        <v>906454</v>
      </c>
      <c r="E138" s="3" t="n">
        <v>2414</v>
      </c>
      <c r="F138" s="3" t="n">
        <v>3828751</v>
      </c>
      <c r="G138" s="3" t="n">
        <v>100187.1</v>
      </c>
      <c r="H138" s="4" t="n">
        <f aca="false">F138+G138</f>
        <v>3928938.1</v>
      </c>
      <c r="I138" s="5" t="n">
        <f aca="false">H138/D138</f>
        <v>4.33440428306345</v>
      </c>
      <c r="J138" s="6" t="n">
        <f aca="false">H138/VLOOKUP(C138,Referencia_Mundial!$A:$B,2,FALSE())*100</f>
        <v>1.97465903620872</v>
      </c>
      <c r="K138" s="2" t="s">
        <v>23</v>
      </c>
      <c r="L138" s="2" t="s">
        <v>24</v>
      </c>
      <c r="M138" s="7" t="str">
        <f aca="false">IF(F138&gt;=G138,"Captura silvestre","Acuicultura")</f>
        <v>Captura silvestre</v>
      </c>
      <c r="N138" s="6" t="n">
        <f aca="false">(H138-H137)/H137*100</f>
        <v>-20.3836216255594</v>
      </c>
      <c r="O138" s="8" t="s">
        <v>19</v>
      </c>
    </row>
    <row r="139" customFormat="false" ht="15" hidden="false" customHeight="false" outlineLevel="0" collapsed="false">
      <c r="A139" s="2" t="s">
        <v>40</v>
      </c>
      <c r="B139" s="2" t="s">
        <v>16</v>
      </c>
      <c r="C139" s="2" t="n">
        <v>2017</v>
      </c>
      <c r="D139" s="3" t="n">
        <v>906454</v>
      </c>
      <c r="E139" s="3" t="n">
        <v>2414</v>
      </c>
      <c r="F139" s="3" t="n">
        <v>4185193</v>
      </c>
      <c r="G139" s="3" t="n">
        <v>100458.4</v>
      </c>
      <c r="H139" s="4" t="n">
        <f aca="false">F139+G139</f>
        <v>4285651.4</v>
      </c>
      <c r="I139" s="5" t="n">
        <f aca="false">H139/D139</f>
        <v>4.72793037484528</v>
      </c>
      <c r="J139" s="6" t="n">
        <f aca="false">H139/VLOOKUP(C139,Referencia_Mundial!$A:$B,2,FALSE())*100</f>
        <v>2.07361566875718</v>
      </c>
      <c r="K139" s="2" t="s">
        <v>23</v>
      </c>
      <c r="L139" s="2" t="s">
        <v>24</v>
      </c>
      <c r="M139" s="7" t="str">
        <f aca="false">IF(F139&gt;=G139,"Captura silvestre","Acuicultura")</f>
        <v>Captura silvestre</v>
      </c>
      <c r="N139" s="6" t="n">
        <f aca="false">(H139-H138)/H138*100</f>
        <v>9.07912751285138</v>
      </c>
      <c r="O139" s="8" t="s">
        <v>19</v>
      </c>
    </row>
    <row r="140" customFormat="false" ht="15" hidden="false" customHeight="false" outlineLevel="0" collapsed="false">
      <c r="A140" s="2" t="s">
        <v>40</v>
      </c>
      <c r="B140" s="2" t="s">
        <v>16</v>
      </c>
      <c r="C140" s="2" t="n">
        <v>2018</v>
      </c>
      <c r="D140" s="3" t="n">
        <v>906454</v>
      </c>
      <c r="E140" s="3" t="n">
        <v>2414</v>
      </c>
      <c r="F140" s="3" t="n">
        <v>7208637.5</v>
      </c>
      <c r="G140" s="3" t="n">
        <v>141224.4</v>
      </c>
      <c r="H140" s="4" t="n">
        <f aca="false">F140+G140</f>
        <v>7349861.9</v>
      </c>
      <c r="I140" s="5" t="n">
        <f aca="false">H140/D140</f>
        <v>8.10836721995821</v>
      </c>
      <c r="J140" s="6" t="n">
        <f aca="false">H140/VLOOKUP(C140,Referencia_Mundial!$A:$B,2,FALSE())*100</f>
        <v>3.44500144333337</v>
      </c>
      <c r="K140" s="2" t="s">
        <v>23</v>
      </c>
      <c r="L140" s="2" t="s">
        <v>24</v>
      </c>
      <c r="M140" s="7" t="str">
        <f aca="false">IF(F140&gt;=G140,"Captura silvestre","Acuicultura")</f>
        <v>Captura silvestre</v>
      </c>
      <c r="N140" s="6" t="n">
        <f aca="false">(H140-H139)/H139*100</f>
        <v>71.4992941329759</v>
      </c>
      <c r="O140" s="8" t="s">
        <v>19</v>
      </c>
    </row>
    <row r="141" customFormat="false" ht="15" hidden="false" customHeight="false" outlineLevel="0" collapsed="false">
      <c r="A141" s="2" t="s">
        <v>40</v>
      </c>
      <c r="B141" s="2" t="s">
        <v>16</v>
      </c>
      <c r="C141" s="2" t="n">
        <v>2019</v>
      </c>
      <c r="D141" s="3" t="n">
        <v>906454</v>
      </c>
      <c r="E141" s="3" t="n">
        <v>2414</v>
      </c>
      <c r="F141" s="3" t="n">
        <v>4852821.4</v>
      </c>
      <c r="G141" s="3" t="n">
        <v>161278.6</v>
      </c>
      <c r="H141" s="4" t="n">
        <f aca="false">F141+G141</f>
        <v>5014100</v>
      </c>
      <c r="I141" s="5" t="n">
        <f aca="false">H141/D141</f>
        <v>5.53155482793391</v>
      </c>
      <c r="J141" s="6" t="n">
        <f aca="false">H141/VLOOKUP(C141,Referencia_Mundial!$A:$B,2,FALSE())*100</f>
        <v>2.35208609760441</v>
      </c>
      <c r="K141" s="2" t="s">
        <v>23</v>
      </c>
      <c r="L141" s="2" t="s">
        <v>24</v>
      </c>
      <c r="M141" s="7" t="str">
        <f aca="false">IF(F141&gt;=G141,"Captura silvestre","Acuicultura")</f>
        <v>Captura silvestre</v>
      </c>
      <c r="N141" s="6" t="n">
        <f aca="false">(H141-H140)/H140*100</f>
        <v>-31.7796705812935</v>
      </c>
      <c r="O141" s="8" t="s">
        <v>19</v>
      </c>
    </row>
    <row r="142" customFormat="false" ht="15" hidden="false" customHeight="false" outlineLevel="0" collapsed="false">
      <c r="A142" s="2" t="s">
        <v>40</v>
      </c>
      <c r="B142" s="2" t="s">
        <v>16</v>
      </c>
      <c r="C142" s="2" t="n">
        <v>2020</v>
      </c>
      <c r="D142" s="3" t="n">
        <v>906454</v>
      </c>
      <c r="E142" s="3" t="n">
        <v>2414</v>
      </c>
      <c r="F142" s="3" t="n">
        <v>5676965.5</v>
      </c>
      <c r="G142" s="3" t="n">
        <v>143829.7</v>
      </c>
      <c r="H142" s="4" t="n">
        <f aca="false">F142+G142</f>
        <v>5820795.2</v>
      </c>
      <c r="I142" s="5" t="n">
        <f aca="false">H142/D142</f>
        <v>6.42150092558475</v>
      </c>
      <c r="J142" s="6" t="n">
        <f aca="false">H142/VLOOKUP(C142,Referencia_Mundial!$A:$B,2,FALSE())*100</f>
        <v>2.72643257800846</v>
      </c>
      <c r="K142" s="2" t="s">
        <v>23</v>
      </c>
      <c r="L142" s="2" t="s">
        <v>24</v>
      </c>
      <c r="M142" s="7" t="str">
        <f aca="false">IF(F142&gt;=G142,"Captura silvestre","Acuicultura")</f>
        <v>Captura silvestre</v>
      </c>
      <c r="N142" s="6" t="n">
        <f aca="false">(H142-H141)/H141*100</f>
        <v>16.0885343331804</v>
      </c>
      <c r="O142" s="8" t="s">
        <v>19</v>
      </c>
    </row>
    <row r="143" customFormat="false" ht="15" hidden="false" customHeight="false" outlineLevel="0" collapsed="false">
      <c r="A143" s="2" t="s">
        <v>40</v>
      </c>
      <c r="B143" s="2" t="s">
        <v>16</v>
      </c>
      <c r="C143" s="2" t="n">
        <v>2021</v>
      </c>
      <c r="D143" s="3" t="n">
        <v>906454</v>
      </c>
      <c r="E143" s="3" t="n">
        <v>2414</v>
      </c>
      <c r="F143" s="3" t="n">
        <v>6576171.1</v>
      </c>
      <c r="G143" s="3" t="n">
        <v>150817.6</v>
      </c>
      <c r="H143" s="4" t="n">
        <f aca="false">F143+G143</f>
        <v>6726988.7</v>
      </c>
      <c r="I143" s="5" t="n">
        <f aca="false">H143/D143</f>
        <v>7.42121354199992</v>
      </c>
      <c r="J143" s="6" t="n">
        <f aca="false">H143/VLOOKUP(C143,Referencia_Mundial!$A:$B,2,FALSE())*100</f>
        <v>3.0718730867568</v>
      </c>
      <c r="K143" s="2" t="s">
        <v>23</v>
      </c>
      <c r="L143" s="2" t="s">
        <v>24</v>
      </c>
      <c r="M143" s="7" t="str">
        <f aca="false">IF(F143&gt;=G143,"Captura silvestre","Acuicultura")</f>
        <v>Captura silvestre</v>
      </c>
      <c r="N143" s="6" t="n">
        <f aca="false">(H143-H142)/H142*100</f>
        <v>15.5682079314524</v>
      </c>
      <c r="O143" s="8" t="s">
        <v>19</v>
      </c>
    </row>
    <row r="144" customFormat="false" ht="15" hidden="false" customHeight="false" outlineLevel="0" collapsed="false">
      <c r="A144" s="2" t="s">
        <v>40</v>
      </c>
      <c r="B144" s="2" t="s">
        <v>16</v>
      </c>
      <c r="C144" s="2" t="n">
        <v>2022</v>
      </c>
      <c r="D144" s="3" t="n">
        <v>906454</v>
      </c>
      <c r="E144" s="3" t="n">
        <v>2414</v>
      </c>
      <c r="F144" s="3" t="n">
        <v>5368100.7</v>
      </c>
      <c r="G144" s="3" t="n">
        <v>140930.6</v>
      </c>
      <c r="H144" s="4" t="n">
        <f aca="false">F144+G144</f>
        <v>5509031.3</v>
      </c>
      <c r="I144" s="5" t="n">
        <f aca="false">H144/D144</f>
        <v>6.07756300926467</v>
      </c>
      <c r="J144" s="6" t="n">
        <f aca="false">H144/VLOOKUP(C144,Referencia_Mundial!$A:$B,2,FALSE())*100</f>
        <v>2.46939428742318</v>
      </c>
      <c r="K144" s="2" t="s">
        <v>23</v>
      </c>
      <c r="L144" s="2" t="s">
        <v>24</v>
      </c>
      <c r="M144" s="7" t="str">
        <f aca="false">IF(F144&gt;=G144,"Captura silvestre","Acuicultura")</f>
        <v>Captura silvestre</v>
      </c>
      <c r="N144" s="6" t="n">
        <f aca="false">(H144-H143)/H143*100</f>
        <v>-18.1055365828101</v>
      </c>
      <c r="O144" s="8" t="s">
        <v>19</v>
      </c>
    </row>
    <row r="145" customFormat="false" ht="15" hidden="false" customHeight="false" outlineLevel="0" collapsed="false">
      <c r="A145" s="2" t="s">
        <v>40</v>
      </c>
      <c r="B145" s="2" t="s">
        <v>16</v>
      </c>
      <c r="C145" s="2" t="n">
        <v>2023</v>
      </c>
      <c r="D145" s="3" t="n">
        <v>906454</v>
      </c>
      <c r="E145" s="3" t="n">
        <v>2414</v>
      </c>
      <c r="F145" s="3" t="n">
        <v>3519380.7</v>
      </c>
      <c r="G145" s="3" t="n">
        <v>105082.3</v>
      </c>
      <c r="H145" s="4" t="n">
        <f aca="false">F145+G145</f>
        <v>3624463</v>
      </c>
      <c r="I145" s="5" t="n">
        <f aca="false">H145/D145</f>
        <v>3.99850737047881</v>
      </c>
      <c r="J145" s="6" t="n">
        <f aca="false">H145/VLOOKUP(C145,Referencia_Mundial!$A:$B,2,FALSE())*100</f>
        <v>1.59035052854766</v>
      </c>
      <c r="K145" s="2" t="s">
        <v>23</v>
      </c>
      <c r="L145" s="2" t="s">
        <v>24</v>
      </c>
      <c r="M145" s="7" t="str">
        <f aca="false">IF(F145&gt;=G145,"Captura silvestre","Acuicultura")</f>
        <v>Captura silvestre</v>
      </c>
      <c r="N145" s="6" t="n">
        <f aca="false">(H145-H144)/H144*100</f>
        <v>-34.2087056212587</v>
      </c>
      <c r="O145" s="8" t="s">
        <v>19</v>
      </c>
    </row>
    <row r="146" customFormat="false" ht="15" hidden="false" customHeight="false" outlineLevel="0" collapsed="false">
      <c r="A146" s="2" t="s">
        <v>41</v>
      </c>
      <c r="B146" s="2" t="s">
        <v>30</v>
      </c>
      <c r="C146" s="2" t="n">
        <v>2000</v>
      </c>
      <c r="D146" s="3" t="n">
        <v>722000</v>
      </c>
      <c r="E146" s="3" t="n">
        <v>3444</v>
      </c>
      <c r="F146" s="3" t="n">
        <v>1629612</v>
      </c>
      <c r="G146" s="3" t="n">
        <v>513517</v>
      </c>
      <c r="H146" s="4" t="n">
        <f aca="false">F146+G146</f>
        <v>2143129</v>
      </c>
      <c r="I146" s="5" t="n">
        <f aca="false">H146/D146</f>
        <v>2.96832271468144</v>
      </c>
      <c r="J146" s="6" t="n">
        <f aca="false">H146/VLOOKUP(C146,Referencia_Mundial!$A:$B,2,FALSE())*100</f>
        <v>1.55533586060767</v>
      </c>
      <c r="K146" s="2" t="s">
        <v>42</v>
      </c>
      <c r="L146" s="2" t="s">
        <v>43</v>
      </c>
      <c r="M146" s="7" t="str">
        <f aca="false">IF(F146&gt;=G146,"Captura silvestre","Acuicultura")</f>
        <v>Captura silvestre</v>
      </c>
      <c r="N146" s="6"/>
      <c r="O146" s="8" t="s">
        <v>19</v>
      </c>
    </row>
    <row r="147" customFormat="false" ht="15" hidden="false" customHeight="false" outlineLevel="0" collapsed="false">
      <c r="A147" s="2" t="s">
        <v>41</v>
      </c>
      <c r="B147" s="2" t="s">
        <v>30</v>
      </c>
      <c r="C147" s="2" t="n">
        <v>2001</v>
      </c>
      <c r="D147" s="3" t="n">
        <v>722000</v>
      </c>
      <c r="E147" s="3" t="n">
        <v>3444</v>
      </c>
      <c r="F147" s="3" t="n">
        <v>1724758</v>
      </c>
      <c r="G147" s="3" t="n">
        <v>603098</v>
      </c>
      <c r="H147" s="4" t="n">
        <f aca="false">F147+G147</f>
        <v>2327856</v>
      </c>
      <c r="I147" s="5" t="n">
        <f aca="false">H147/D147</f>
        <v>3.22417728531856</v>
      </c>
      <c r="J147" s="6" t="n">
        <f aca="false">H147/VLOOKUP(C147,Referencia_Mundial!$A:$B,2,FALSE())*100</f>
        <v>1.69241782438992</v>
      </c>
      <c r="K147" s="2" t="s">
        <v>42</v>
      </c>
      <c r="L147" s="2" t="s">
        <v>43</v>
      </c>
      <c r="M147" s="7" t="str">
        <f aca="false">IF(F147&gt;=G147,"Captura silvestre","Acuicultura")</f>
        <v>Captura silvestre</v>
      </c>
      <c r="N147" s="6" t="n">
        <f aca="false">(H147-H146)/H146*100</f>
        <v>8.6194998061246</v>
      </c>
      <c r="O147" s="8" t="s">
        <v>19</v>
      </c>
    </row>
    <row r="148" customFormat="false" ht="15" hidden="false" customHeight="false" outlineLevel="0" collapsed="false">
      <c r="A148" s="2" t="s">
        <v>41</v>
      </c>
      <c r="B148" s="2" t="s">
        <v>30</v>
      </c>
      <c r="C148" s="2" t="n">
        <v>2002</v>
      </c>
      <c r="D148" s="3" t="n">
        <v>722000</v>
      </c>
      <c r="E148" s="3" t="n">
        <v>3444</v>
      </c>
      <c r="F148" s="3" t="n">
        <v>1802598</v>
      </c>
      <c r="G148" s="3" t="n">
        <v>718041</v>
      </c>
      <c r="H148" s="4" t="n">
        <f aca="false">F148+G148</f>
        <v>2520639</v>
      </c>
      <c r="I148" s="5" t="n">
        <f aca="false">H148/D148</f>
        <v>3.49118975069252</v>
      </c>
      <c r="J148" s="6" t="n">
        <f aca="false">H148/VLOOKUP(C148,Referencia_Mundial!$A:$B,2,FALSE())*100</f>
        <v>1.78745164402404</v>
      </c>
      <c r="K148" s="2" t="s">
        <v>42</v>
      </c>
      <c r="L148" s="2" t="s">
        <v>43</v>
      </c>
      <c r="M148" s="7" t="str">
        <f aca="false">IF(F148&gt;=G148,"Captura silvestre","Acuicultura")</f>
        <v>Captura silvestre</v>
      </c>
      <c r="N148" s="6" t="n">
        <f aca="false">(H148-H147)/H147*100</f>
        <v>8.28156896302864</v>
      </c>
      <c r="O148" s="8" t="s">
        <v>19</v>
      </c>
    </row>
    <row r="149" customFormat="false" ht="15" hidden="false" customHeight="false" outlineLevel="0" collapsed="false">
      <c r="A149" s="2" t="s">
        <v>41</v>
      </c>
      <c r="B149" s="2" t="s">
        <v>30</v>
      </c>
      <c r="C149" s="2" t="n">
        <v>2003</v>
      </c>
      <c r="D149" s="3" t="n">
        <v>722000</v>
      </c>
      <c r="E149" s="3" t="n">
        <v>3444</v>
      </c>
      <c r="F149" s="3" t="n">
        <v>1856005</v>
      </c>
      <c r="G149" s="3" t="n">
        <v>952502</v>
      </c>
      <c r="H149" s="4" t="n">
        <f aca="false">F149+G149</f>
        <v>2808507</v>
      </c>
      <c r="I149" s="5" t="n">
        <f aca="false">H149/D149</f>
        <v>3.88989889196676</v>
      </c>
      <c r="J149" s="6" t="n">
        <f aca="false">H149/VLOOKUP(C149,Referencia_Mundial!$A:$B,2,FALSE())*100</f>
        <v>1.98988602729593</v>
      </c>
      <c r="K149" s="2" t="s">
        <v>42</v>
      </c>
      <c r="L149" s="2" t="s">
        <v>43</v>
      </c>
      <c r="M149" s="7" t="str">
        <f aca="false">IF(F149&gt;=G149,"Captura silvestre","Acuicultura")</f>
        <v>Captura silvestre</v>
      </c>
      <c r="N149" s="6" t="n">
        <f aca="false">(H149-H148)/H148*100</f>
        <v>11.4204374366976</v>
      </c>
      <c r="O149" s="8" t="s">
        <v>19</v>
      </c>
    </row>
    <row r="150" customFormat="false" ht="15" hidden="false" customHeight="false" outlineLevel="0" collapsed="false">
      <c r="A150" s="2" t="s">
        <v>41</v>
      </c>
      <c r="B150" s="2" t="s">
        <v>30</v>
      </c>
      <c r="C150" s="2" t="n">
        <v>2004</v>
      </c>
      <c r="D150" s="3" t="n">
        <v>722000</v>
      </c>
      <c r="E150" s="3" t="n">
        <v>3444</v>
      </c>
      <c r="F150" s="3" t="n">
        <v>1940034</v>
      </c>
      <c r="G150" s="3" t="n">
        <v>1213617</v>
      </c>
      <c r="H150" s="4" t="n">
        <f aca="false">F150+G150</f>
        <v>3153651</v>
      </c>
      <c r="I150" s="5" t="n">
        <f aca="false">H150/D150</f>
        <v>4.36793767313019</v>
      </c>
      <c r="J150" s="6" t="n">
        <f aca="false">H150/VLOOKUP(C150,Referencia_Mundial!$A:$B,2,FALSE())*100</f>
        <v>2.10184778641313</v>
      </c>
      <c r="K150" s="2" t="s">
        <v>42</v>
      </c>
      <c r="L150" s="2" t="s">
        <v>43</v>
      </c>
      <c r="M150" s="7" t="str">
        <f aca="false">IF(F150&gt;=G150,"Captura silvestre","Acuicultura")</f>
        <v>Captura silvestre</v>
      </c>
      <c r="N150" s="6" t="n">
        <f aca="false">(H150-H149)/H149*100</f>
        <v>12.2892341019624</v>
      </c>
      <c r="O150" s="8" t="s">
        <v>19</v>
      </c>
    </row>
    <row r="151" customFormat="false" ht="15" hidden="false" customHeight="false" outlineLevel="0" collapsed="false">
      <c r="A151" s="2" t="s">
        <v>41</v>
      </c>
      <c r="B151" s="2" t="s">
        <v>30</v>
      </c>
      <c r="C151" s="2" t="n">
        <v>2005</v>
      </c>
      <c r="D151" s="3" t="n">
        <v>722000</v>
      </c>
      <c r="E151" s="3" t="n">
        <v>3444</v>
      </c>
      <c r="F151" s="3" t="n">
        <v>1987900</v>
      </c>
      <c r="G151" s="3" t="n">
        <v>1452300</v>
      </c>
      <c r="H151" s="4" t="n">
        <f aca="false">F151+G151</f>
        <v>3440200</v>
      </c>
      <c r="I151" s="5" t="n">
        <f aca="false">H151/D151</f>
        <v>4.76481994459834</v>
      </c>
      <c r="J151" s="6" t="n">
        <f aca="false">H151/VLOOKUP(C151,Referencia_Mundial!$A:$B,2,FALSE())*100</f>
        <v>2.24954543427661</v>
      </c>
      <c r="K151" s="2" t="s">
        <v>42</v>
      </c>
      <c r="L151" s="2" t="s">
        <v>43</v>
      </c>
      <c r="M151" s="7" t="str">
        <f aca="false">IF(F151&gt;=G151,"Captura silvestre","Acuicultura")</f>
        <v>Captura silvestre</v>
      </c>
      <c r="N151" s="6" t="n">
        <f aca="false">(H151-H150)/H150*100</f>
        <v>9.08626224017813</v>
      </c>
      <c r="O151" s="8" t="s">
        <v>19</v>
      </c>
    </row>
    <row r="152" customFormat="false" ht="15" hidden="false" customHeight="false" outlineLevel="0" collapsed="false">
      <c r="A152" s="2" t="s">
        <v>41</v>
      </c>
      <c r="B152" s="2" t="s">
        <v>30</v>
      </c>
      <c r="C152" s="2" t="n">
        <v>2006</v>
      </c>
      <c r="D152" s="3" t="n">
        <v>722000</v>
      </c>
      <c r="E152" s="3" t="n">
        <v>3444</v>
      </c>
      <c r="F152" s="3" t="n">
        <v>2026600</v>
      </c>
      <c r="G152" s="3" t="n">
        <v>1672727</v>
      </c>
      <c r="H152" s="4" t="n">
        <f aca="false">F152+G152</f>
        <v>3699327</v>
      </c>
      <c r="I152" s="5" t="n">
        <f aca="false">H152/D152</f>
        <v>5.1237216066482</v>
      </c>
      <c r="J152" s="6" t="n">
        <f aca="false">H152/VLOOKUP(C152,Referencia_Mundial!$A:$B,2,FALSE())*100</f>
        <v>2.39796656486396</v>
      </c>
      <c r="K152" s="2" t="s">
        <v>42</v>
      </c>
      <c r="L152" s="2" t="s">
        <v>43</v>
      </c>
      <c r="M152" s="7" t="str">
        <f aca="false">IF(F152&gt;=G152,"Captura silvestre","Acuicultura")</f>
        <v>Captura silvestre</v>
      </c>
      <c r="N152" s="6" t="n">
        <f aca="false">(H152-H151)/H151*100</f>
        <v>7.53232370211034</v>
      </c>
      <c r="O152" s="8" t="s">
        <v>19</v>
      </c>
    </row>
    <row r="153" customFormat="false" ht="15" hidden="false" customHeight="false" outlineLevel="0" collapsed="false">
      <c r="A153" s="2" t="s">
        <v>41</v>
      </c>
      <c r="B153" s="2" t="s">
        <v>30</v>
      </c>
      <c r="C153" s="2" t="n">
        <v>2007</v>
      </c>
      <c r="D153" s="3" t="n">
        <v>722000</v>
      </c>
      <c r="E153" s="3" t="n">
        <v>3444</v>
      </c>
      <c r="F153" s="3" t="n">
        <v>2074500</v>
      </c>
      <c r="G153" s="3" t="n">
        <v>2100400</v>
      </c>
      <c r="H153" s="4" t="n">
        <f aca="false">F153+G153</f>
        <v>4174900</v>
      </c>
      <c r="I153" s="5" t="n">
        <f aca="false">H153/D153</f>
        <v>5.78240997229917</v>
      </c>
      <c r="J153" s="6" t="n">
        <f aca="false">H153/VLOOKUP(C153,Referencia_Mundial!$A:$B,2,FALSE())*100</f>
        <v>2.64243507844109</v>
      </c>
      <c r="K153" s="2" t="s">
        <v>42</v>
      </c>
      <c r="L153" s="2" t="s">
        <v>43</v>
      </c>
      <c r="M153" s="7" t="str">
        <f aca="false">IF(F153&gt;=G153,"Captura silvestre","Acuicultura")</f>
        <v>Acuicultura</v>
      </c>
      <c r="N153" s="6" t="n">
        <f aca="false">(H153-H152)/H152*100</f>
        <v>12.855662665128</v>
      </c>
      <c r="O153" s="8" t="s">
        <v>19</v>
      </c>
    </row>
    <row r="154" customFormat="false" ht="15" hidden="false" customHeight="false" outlineLevel="0" collapsed="false">
      <c r="A154" s="2" t="s">
        <v>41</v>
      </c>
      <c r="B154" s="2" t="s">
        <v>30</v>
      </c>
      <c r="C154" s="2" t="n">
        <v>2008</v>
      </c>
      <c r="D154" s="3" t="n">
        <v>722000</v>
      </c>
      <c r="E154" s="3" t="n">
        <v>3444</v>
      </c>
      <c r="F154" s="3" t="n">
        <v>2054700</v>
      </c>
      <c r="G154" s="3" t="n">
        <v>2477450</v>
      </c>
      <c r="H154" s="4" t="n">
        <f aca="false">F154+G154</f>
        <v>4532150</v>
      </c>
      <c r="I154" s="5" t="n">
        <f aca="false">H154/D154</f>
        <v>6.27721606648199</v>
      </c>
      <c r="J154" s="6" t="n">
        <f aca="false">H154/VLOOKUP(C154,Referencia_Mundial!$A:$B,2,FALSE())*100</f>
        <v>2.81495414955474</v>
      </c>
      <c r="K154" s="2" t="s">
        <v>42</v>
      </c>
      <c r="L154" s="2" t="s">
        <v>43</v>
      </c>
      <c r="M154" s="7" t="str">
        <f aca="false">IF(F154&gt;=G154,"Captura silvestre","Acuicultura")</f>
        <v>Acuicultura</v>
      </c>
      <c r="N154" s="6" t="n">
        <f aca="false">(H154-H153)/H153*100</f>
        <v>8.55709118781288</v>
      </c>
      <c r="O154" s="8" t="s">
        <v>19</v>
      </c>
    </row>
    <row r="155" customFormat="false" ht="15" hidden="false" customHeight="false" outlineLevel="0" collapsed="false">
      <c r="A155" s="2" t="s">
        <v>41</v>
      </c>
      <c r="B155" s="2" t="s">
        <v>30</v>
      </c>
      <c r="C155" s="2" t="n">
        <v>2009</v>
      </c>
      <c r="D155" s="3" t="n">
        <v>722000</v>
      </c>
      <c r="E155" s="3" t="n">
        <v>3444</v>
      </c>
      <c r="F155" s="3" t="n">
        <v>2178400</v>
      </c>
      <c r="G155" s="3" t="n">
        <v>2571080</v>
      </c>
      <c r="H155" s="4" t="n">
        <f aca="false">F155+G155</f>
        <v>4749480</v>
      </c>
      <c r="I155" s="5" t="n">
        <f aca="false">H155/D155</f>
        <v>6.5782271468144</v>
      </c>
      <c r="J155" s="6" t="n">
        <f aca="false">H155/VLOOKUP(C155,Referencia_Mundial!$A:$B,2,FALSE())*100</f>
        <v>2.89547896316893</v>
      </c>
      <c r="K155" s="2" t="s">
        <v>42</v>
      </c>
      <c r="L155" s="2" t="s">
        <v>43</v>
      </c>
      <c r="M155" s="7" t="str">
        <f aca="false">IF(F155&gt;=G155,"Captura silvestre","Acuicultura")</f>
        <v>Acuicultura</v>
      </c>
      <c r="N155" s="6" t="n">
        <f aca="false">(H155-H154)/H154*100</f>
        <v>4.79529583089704</v>
      </c>
      <c r="O155" s="8" t="s">
        <v>19</v>
      </c>
    </row>
    <row r="156" customFormat="false" ht="15" hidden="false" customHeight="false" outlineLevel="0" collapsed="false">
      <c r="A156" s="2" t="s">
        <v>41</v>
      </c>
      <c r="B156" s="2" t="s">
        <v>30</v>
      </c>
      <c r="C156" s="2" t="n">
        <v>2010</v>
      </c>
      <c r="D156" s="3" t="n">
        <v>722000</v>
      </c>
      <c r="E156" s="3" t="n">
        <v>3444</v>
      </c>
      <c r="F156" s="3" t="n">
        <v>2249711</v>
      </c>
      <c r="G156" s="3" t="n">
        <v>2701317</v>
      </c>
      <c r="H156" s="4" t="n">
        <f aca="false">F156+G156</f>
        <v>4951028</v>
      </c>
      <c r="I156" s="5" t="n">
        <f aca="false">H156/D156</f>
        <v>6.85737950138504</v>
      </c>
      <c r="J156" s="6" t="n">
        <f aca="false">H156/VLOOKUP(C156,Referencia_Mundial!$A:$B,2,FALSE())*100</f>
        <v>2.9770993616952</v>
      </c>
      <c r="K156" s="2" t="s">
        <v>42</v>
      </c>
      <c r="L156" s="2" t="s">
        <v>43</v>
      </c>
      <c r="M156" s="7" t="str">
        <f aca="false">IF(F156&gt;=G156,"Captura silvestre","Acuicultura")</f>
        <v>Acuicultura</v>
      </c>
      <c r="N156" s="6" t="n">
        <f aca="false">(H156-H155)/H155*100</f>
        <v>4.24358034984883</v>
      </c>
      <c r="O156" s="8" t="s">
        <v>19</v>
      </c>
    </row>
    <row r="157" customFormat="false" ht="15" hidden="false" customHeight="false" outlineLevel="0" collapsed="false">
      <c r="A157" s="2" t="s">
        <v>41</v>
      </c>
      <c r="B157" s="2" t="s">
        <v>30</v>
      </c>
      <c r="C157" s="2" t="n">
        <v>2011</v>
      </c>
      <c r="D157" s="3" t="n">
        <v>722000</v>
      </c>
      <c r="E157" s="3" t="n">
        <v>3444</v>
      </c>
      <c r="F157" s="3" t="n">
        <v>2399528</v>
      </c>
      <c r="G157" s="3" t="n">
        <v>2860990</v>
      </c>
      <c r="H157" s="4" t="n">
        <f aca="false">F157+G157</f>
        <v>5260518</v>
      </c>
      <c r="I157" s="5" t="n">
        <f aca="false">H157/D157</f>
        <v>7.28603601108033</v>
      </c>
      <c r="J157" s="6" t="n">
        <f aca="false">H157/VLOOKUP(C157,Referencia_Mundial!$A:$B,2,FALSE())*100</f>
        <v>3.01683106759276</v>
      </c>
      <c r="K157" s="2" t="s">
        <v>42</v>
      </c>
      <c r="L157" s="2" t="s">
        <v>43</v>
      </c>
      <c r="M157" s="7" t="str">
        <f aca="false">IF(F157&gt;=G157,"Captura silvestre","Acuicultura")</f>
        <v>Acuicultura</v>
      </c>
      <c r="N157" s="6" t="n">
        <f aca="false">(H157-H156)/H156*100</f>
        <v>6.25102503964833</v>
      </c>
      <c r="O157" s="8" t="s">
        <v>19</v>
      </c>
    </row>
    <row r="158" customFormat="false" ht="15" hidden="false" customHeight="false" outlineLevel="0" collapsed="false">
      <c r="A158" s="2" t="s">
        <v>41</v>
      </c>
      <c r="B158" s="2" t="s">
        <v>30</v>
      </c>
      <c r="C158" s="2" t="n">
        <v>2012</v>
      </c>
      <c r="D158" s="3" t="n">
        <v>722000</v>
      </c>
      <c r="E158" s="3" t="n">
        <v>3444</v>
      </c>
      <c r="F158" s="3" t="n">
        <v>2523673</v>
      </c>
      <c r="G158" s="3" t="n">
        <v>3104501</v>
      </c>
      <c r="H158" s="4" t="n">
        <f aca="false">F158+G158</f>
        <v>5628174</v>
      </c>
      <c r="I158" s="5" t="n">
        <f aca="false">H158/D158</f>
        <v>7.79525484764543</v>
      </c>
      <c r="J158" s="6" t="n">
        <f aca="false">H158/VLOOKUP(C158,Referencia_Mundial!$A:$B,2,FALSE())*100</f>
        <v>3.1606322692087</v>
      </c>
      <c r="K158" s="2" t="s">
        <v>42</v>
      </c>
      <c r="L158" s="2" t="s">
        <v>43</v>
      </c>
      <c r="M158" s="7" t="str">
        <f aca="false">IF(F158&gt;=G158,"Captura silvestre","Acuicultura")</f>
        <v>Acuicultura</v>
      </c>
      <c r="N158" s="6" t="n">
        <f aca="false">(H158-H157)/H157*100</f>
        <v>6.98896952733552</v>
      </c>
      <c r="O158" s="8" t="s">
        <v>19</v>
      </c>
    </row>
    <row r="159" customFormat="false" ht="15" hidden="false" customHeight="false" outlineLevel="0" collapsed="false">
      <c r="A159" s="2" t="s">
        <v>41</v>
      </c>
      <c r="B159" s="2" t="s">
        <v>30</v>
      </c>
      <c r="C159" s="2" t="n">
        <v>2013</v>
      </c>
      <c r="D159" s="3" t="n">
        <v>722000</v>
      </c>
      <c r="E159" s="3" t="n">
        <v>3444</v>
      </c>
      <c r="F159" s="3" t="n">
        <v>2623588</v>
      </c>
      <c r="G159" s="3" t="n">
        <v>3221095</v>
      </c>
      <c r="H159" s="4" t="n">
        <f aca="false">F159+G159</f>
        <v>5844683</v>
      </c>
      <c r="I159" s="5" t="n">
        <f aca="false">H159/D159</f>
        <v>8.09512880886427</v>
      </c>
      <c r="J159" s="6" t="n">
        <f aca="false">H159/VLOOKUP(C159,Referencia_Mundial!$A:$B,2,FALSE())*100</f>
        <v>3.1421367962725</v>
      </c>
      <c r="K159" s="2" t="s">
        <v>42</v>
      </c>
      <c r="L159" s="2" t="s">
        <v>43</v>
      </c>
      <c r="M159" s="7" t="str">
        <f aca="false">IF(F159&gt;=G159,"Captura silvestre","Acuicultura")</f>
        <v>Acuicultura</v>
      </c>
      <c r="N159" s="6" t="n">
        <f aca="false">(H159-H158)/H158*100</f>
        <v>3.84687822373651</v>
      </c>
      <c r="O159" s="8" t="s">
        <v>19</v>
      </c>
    </row>
    <row r="160" customFormat="false" ht="15" hidden="false" customHeight="false" outlineLevel="0" collapsed="false">
      <c r="A160" s="2" t="s">
        <v>41</v>
      </c>
      <c r="B160" s="2" t="s">
        <v>30</v>
      </c>
      <c r="C160" s="2" t="n">
        <v>2014</v>
      </c>
      <c r="D160" s="3" t="n">
        <v>722000</v>
      </c>
      <c r="E160" s="3" t="n">
        <v>3444</v>
      </c>
      <c r="F160" s="3" t="n">
        <v>2743462</v>
      </c>
      <c r="G160" s="3" t="n">
        <v>3355234</v>
      </c>
      <c r="H160" s="4" t="n">
        <f aca="false">F160+G160</f>
        <v>6098696</v>
      </c>
      <c r="I160" s="5" t="n">
        <f aca="false">H160/D160</f>
        <v>8.44694736842105</v>
      </c>
      <c r="J160" s="6" t="n">
        <f aca="false">H160/VLOOKUP(C160,Referencia_Mundial!$A:$B,2,FALSE())*100</f>
        <v>3.19038780756161</v>
      </c>
      <c r="K160" s="2" t="s">
        <v>42</v>
      </c>
      <c r="L160" s="2" t="s">
        <v>43</v>
      </c>
      <c r="M160" s="7" t="str">
        <f aca="false">IF(F160&gt;=G160,"Captura silvestre","Acuicultura")</f>
        <v>Acuicultura</v>
      </c>
      <c r="N160" s="6" t="n">
        <f aca="false">(H160-H159)/H159*100</f>
        <v>4.34605264306037</v>
      </c>
      <c r="O160" s="8" t="s">
        <v>19</v>
      </c>
    </row>
    <row r="161" customFormat="false" ht="15" hidden="false" customHeight="false" outlineLevel="0" collapsed="false">
      <c r="A161" s="2" t="s">
        <v>41</v>
      </c>
      <c r="B161" s="2" t="s">
        <v>30</v>
      </c>
      <c r="C161" s="2" t="n">
        <v>2015</v>
      </c>
      <c r="D161" s="3" t="n">
        <v>722000</v>
      </c>
      <c r="E161" s="3" t="n">
        <v>3444</v>
      </c>
      <c r="F161" s="3" t="n">
        <v>2860638</v>
      </c>
      <c r="G161" s="3" t="n">
        <v>3475449.6</v>
      </c>
      <c r="H161" s="4" t="n">
        <f aca="false">F161+G161</f>
        <v>6336087.6</v>
      </c>
      <c r="I161" s="5" t="n">
        <f aca="false">H161/D161</f>
        <v>8.77574459833795</v>
      </c>
      <c r="J161" s="6" t="n">
        <f aca="false">H161/VLOOKUP(C161,Referencia_Mundial!$A:$B,2,FALSE())*100</f>
        <v>3.22008213328922</v>
      </c>
      <c r="K161" s="2" t="s">
        <v>42</v>
      </c>
      <c r="L161" s="2" t="s">
        <v>43</v>
      </c>
      <c r="M161" s="7" t="str">
        <f aca="false">IF(F161&gt;=G161,"Captura silvestre","Acuicultura")</f>
        <v>Acuicultura</v>
      </c>
      <c r="N161" s="6" t="n">
        <f aca="false">(H161-H160)/H160*100</f>
        <v>3.89249767491279</v>
      </c>
      <c r="O161" s="8" t="s">
        <v>19</v>
      </c>
    </row>
    <row r="162" customFormat="false" ht="15" hidden="false" customHeight="false" outlineLevel="0" collapsed="false">
      <c r="A162" s="2" t="s">
        <v>41</v>
      </c>
      <c r="B162" s="2" t="s">
        <v>30</v>
      </c>
      <c r="C162" s="2" t="n">
        <v>2016</v>
      </c>
      <c r="D162" s="3" t="n">
        <v>722000</v>
      </c>
      <c r="E162" s="3" t="n">
        <v>3444</v>
      </c>
      <c r="F162" s="3" t="n">
        <v>3077941</v>
      </c>
      <c r="G162" s="3" t="n">
        <v>3581579</v>
      </c>
      <c r="H162" s="4" t="n">
        <f aca="false">F162+G162</f>
        <v>6659520</v>
      </c>
      <c r="I162" s="5" t="n">
        <f aca="false">H162/D162</f>
        <v>9.22371191135734</v>
      </c>
      <c r="J162" s="6" t="n">
        <f aca="false">H162/VLOOKUP(C162,Referencia_Mundial!$A:$B,2,FALSE())*100</f>
        <v>3.34703194861042</v>
      </c>
      <c r="K162" s="2" t="s">
        <v>42</v>
      </c>
      <c r="L162" s="2" t="s">
        <v>43</v>
      </c>
      <c r="M162" s="7" t="str">
        <f aca="false">IF(F162&gt;=G162,"Captura silvestre","Acuicultura")</f>
        <v>Acuicultura</v>
      </c>
      <c r="N162" s="6" t="n">
        <f aca="false">(H162-H161)/H161*100</f>
        <v>5.10460745523784</v>
      </c>
      <c r="O162" s="8" t="s">
        <v>19</v>
      </c>
    </row>
    <row r="163" customFormat="false" ht="15" hidden="false" customHeight="false" outlineLevel="0" collapsed="false">
      <c r="A163" s="2" t="s">
        <v>41</v>
      </c>
      <c r="B163" s="2" t="s">
        <v>30</v>
      </c>
      <c r="C163" s="2" t="n">
        <v>2017</v>
      </c>
      <c r="D163" s="3" t="n">
        <v>722000</v>
      </c>
      <c r="E163" s="3" t="n">
        <v>3444</v>
      </c>
      <c r="F163" s="3" t="n">
        <v>3314293</v>
      </c>
      <c r="G163" s="3" t="n">
        <v>3831777.5</v>
      </c>
      <c r="H163" s="4" t="n">
        <f aca="false">F163+G163</f>
        <v>7146070.5</v>
      </c>
      <c r="I163" s="5" t="n">
        <f aca="false">H163/D163</f>
        <v>9.89760457063712</v>
      </c>
      <c r="J163" s="6" t="n">
        <f aca="false">H163/VLOOKUP(C163,Referencia_Mundial!$A:$B,2,FALSE())*100</f>
        <v>3.45763161204466</v>
      </c>
      <c r="K163" s="2" t="s">
        <v>42</v>
      </c>
      <c r="L163" s="2" t="s">
        <v>43</v>
      </c>
      <c r="M163" s="7" t="str">
        <f aca="false">IF(F163&gt;=G163,"Captura silvestre","Acuicultura")</f>
        <v>Acuicultura</v>
      </c>
      <c r="N163" s="6" t="n">
        <f aca="false">(H163-H162)/H162*100</f>
        <v>7.3060896280813</v>
      </c>
      <c r="O163" s="8" t="s">
        <v>19</v>
      </c>
    </row>
    <row r="164" customFormat="false" ht="15" hidden="false" customHeight="false" outlineLevel="0" collapsed="false">
      <c r="A164" s="2" t="s">
        <v>41</v>
      </c>
      <c r="B164" s="2" t="s">
        <v>30</v>
      </c>
      <c r="C164" s="2" t="n">
        <v>2018</v>
      </c>
      <c r="D164" s="3" t="n">
        <v>722000</v>
      </c>
      <c r="E164" s="3" t="n">
        <v>3444</v>
      </c>
      <c r="F164" s="3" t="n">
        <v>3346179</v>
      </c>
      <c r="G164" s="3" t="n">
        <v>4192822.5</v>
      </c>
      <c r="H164" s="4" t="n">
        <f aca="false">F164+G164</f>
        <v>7539001.5</v>
      </c>
      <c r="I164" s="5" t="n">
        <f aca="false">H164/D164</f>
        <v>10.44183033241</v>
      </c>
      <c r="J164" s="6" t="n">
        <f aca="false">H164/VLOOKUP(C164,Referencia_Mundial!$A:$B,2,FALSE())*100</f>
        <v>3.53365429203404</v>
      </c>
      <c r="K164" s="2" t="s">
        <v>42</v>
      </c>
      <c r="L164" s="2" t="s">
        <v>43</v>
      </c>
      <c r="M164" s="7" t="str">
        <f aca="false">IF(F164&gt;=G164,"Captura silvestre","Acuicultura")</f>
        <v>Acuicultura</v>
      </c>
      <c r="N164" s="6" t="n">
        <f aca="false">(H164-H163)/H163*100</f>
        <v>5.49856036264966</v>
      </c>
      <c r="O164" s="8" t="s">
        <v>19</v>
      </c>
    </row>
    <row r="165" customFormat="false" ht="15" hidden="false" customHeight="false" outlineLevel="0" collapsed="false">
      <c r="A165" s="2" t="s">
        <v>41</v>
      </c>
      <c r="B165" s="2" t="s">
        <v>30</v>
      </c>
      <c r="C165" s="2" t="n">
        <v>2019</v>
      </c>
      <c r="D165" s="3" t="n">
        <v>722000</v>
      </c>
      <c r="E165" s="3" t="n">
        <v>3444</v>
      </c>
      <c r="F165" s="3" t="n">
        <v>3440531.3</v>
      </c>
      <c r="G165" s="3" t="n">
        <v>4373747</v>
      </c>
      <c r="H165" s="4" t="n">
        <f aca="false">F165+G165</f>
        <v>7814278.3</v>
      </c>
      <c r="I165" s="5" t="n">
        <f aca="false">H165/D165</f>
        <v>10.8231001385042</v>
      </c>
      <c r="J165" s="6" t="n">
        <f aca="false">H165/VLOOKUP(C165,Referencia_Mundial!$A:$B,2,FALSE())*100</f>
        <v>3.66563398261738</v>
      </c>
      <c r="K165" s="2" t="s">
        <v>42</v>
      </c>
      <c r="L165" s="2" t="s">
        <v>43</v>
      </c>
      <c r="M165" s="7" t="str">
        <f aca="false">IF(F165&gt;=G165,"Captura silvestre","Acuicultura")</f>
        <v>Acuicultura</v>
      </c>
      <c r="N165" s="6" t="n">
        <f aca="false">(H165-H164)/H164*100</f>
        <v>3.65136948175431</v>
      </c>
      <c r="O165" s="8" t="s">
        <v>19</v>
      </c>
    </row>
    <row r="166" customFormat="false" ht="15" hidden="false" customHeight="false" outlineLevel="0" collapsed="false">
      <c r="A166" s="2" t="s">
        <v>41</v>
      </c>
      <c r="B166" s="2" t="s">
        <v>30</v>
      </c>
      <c r="C166" s="2" t="n">
        <v>2020</v>
      </c>
      <c r="D166" s="3" t="n">
        <v>722000</v>
      </c>
      <c r="E166" s="3" t="n">
        <v>3444</v>
      </c>
      <c r="F166" s="3" t="n">
        <v>3506056.8</v>
      </c>
      <c r="G166" s="3" t="n">
        <v>4681435</v>
      </c>
      <c r="H166" s="4" t="n">
        <f aca="false">F166+G166</f>
        <v>8187491.8</v>
      </c>
      <c r="I166" s="5" t="n">
        <f aca="false">H166/D166</f>
        <v>11.3400163434903</v>
      </c>
      <c r="J166" s="6" t="n">
        <f aca="false">H166/VLOOKUP(C166,Referencia_Mundial!$A:$B,2,FALSE())*100</f>
        <v>3.8349819240672</v>
      </c>
      <c r="K166" s="2" t="s">
        <v>42</v>
      </c>
      <c r="L166" s="2" t="s">
        <v>43</v>
      </c>
      <c r="M166" s="7" t="str">
        <f aca="false">IF(F166&gt;=G166,"Captura silvestre","Acuicultura")</f>
        <v>Acuicultura</v>
      </c>
      <c r="N166" s="6" t="n">
        <f aca="false">(H166-H165)/H165*100</f>
        <v>4.77604566502322</v>
      </c>
      <c r="O166" s="8" t="s">
        <v>19</v>
      </c>
    </row>
    <row r="167" customFormat="false" ht="15" hidden="false" customHeight="false" outlineLevel="0" collapsed="false">
      <c r="A167" s="2" t="s">
        <v>41</v>
      </c>
      <c r="B167" s="2" t="s">
        <v>30</v>
      </c>
      <c r="C167" s="2" t="n">
        <v>2021</v>
      </c>
      <c r="D167" s="3" t="n">
        <v>722000</v>
      </c>
      <c r="E167" s="3" t="n">
        <v>3444</v>
      </c>
      <c r="F167" s="3" t="n">
        <v>3540250.1</v>
      </c>
      <c r="G167" s="3" t="n">
        <v>4750173.8</v>
      </c>
      <c r="H167" s="4" t="n">
        <f aca="false">F167+G167</f>
        <v>8290423.9</v>
      </c>
      <c r="I167" s="5" t="n">
        <f aca="false">H167/D167</f>
        <v>11.4825815789474</v>
      </c>
      <c r="J167" s="6" t="n">
        <f aca="false">H167/VLOOKUP(C167,Referencia_Mundial!$A:$B,2,FALSE())*100</f>
        <v>3.78581430591898</v>
      </c>
      <c r="K167" s="2" t="s">
        <v>42</v>
      </c>
      <c r="L167" s="2" t="s">
        <v>43</v>
      </c>
      <c r="M167" s="7" t="str">
        <f aca="false">IF(F167&gt;=G167,"Captura silvestre","Acuicultura")</f>
        <v>Acuicultura</v>
      </c>
      <c r="N167" s="6" t="n">
        <f aca="false">(H167-H166)/H166*100</f>
        <v>1.25718721330506</v>
      </c>
      <c r="O167" s="8" t="s">
        <v>19</v>
      </c>
    </row>
    <row r="168" customFormat="false" ht="15" hidden="false" customHeight="false" outlineLevel="0" collapsed="false">
      <c r="A168" s="2" t="s">
        <v>41</v>
      </c>
      <c r="B168" s="2" t="s">
        <v>30</v>
      </c>
      <c r="C168" s="2" t="n">
        <v>2022</v>
      </c>
      <c r="D168" s="3" t="n">
        <v>722000</v>
      </c>
      <c r="E168" s="3" t="n">
        <v>3444</v>
      </c>
      <c r="F168" s="3" t="n">
        <v>3456797.9</v>
      </c>
      <c r="G168" s="3" t="n">
        <v>5113494.3</v>
      </c>
      <c r="H168" s="4" t="n">
        <f aca="false">F168+G168</f>
        <v>8570292.2</v>
      </c>
      <c r="I168" s="5" t="n">
        <f aca="false">H168/D168</f>
        <v>11.8702108033241</v>
      </c>
      <c r="J168" s="6" t="n">
        <f aca="false">H168/VLOOKUP(C168,Referencia_Mundial!$A:$B,2,FALSE())*100</f>
        <v>3.84158837511551</v>
      </c>
      <c r="K168" s="2" t="s">
        <v>42</v>
      </c>
      <c r="L168" s="2" t="s">
        <v>43</v>
      </c>
      <c r="M168" s="7" t="str">
        <f aca="false">IF(F168&gt;=G168,"Captura silvestre","Acuicultura")</f>
        <v>Acuicultura</v>
      </c>
      <c r="N168" s="6" t="n">
        <f aca="false">(H168-H167)/H167*100</f>
        <v>3.37580205036318</v>
      </c>
      <c r="O168" s="8" t="s">
        <v>19</v>
      </c>
    </row>
    <row r="169" customFormat="false" ht="15" hidden="false" customHeight="false" outlineLevel="0" collapsed="false">
      <c r="A169" s="2" t="s">
        <v>41</v>
      </c>
      <c r="B169" s="2" t="s">
        <v>30</v>
      </c>
      <c r="C169" s="2" t="n">
        <v>2023</v>
      </c>
      <c r="D169" s="3" t="n">
        <v>722000</v>
      </c>
      <c r="E169" s="3" t="n">
        <v>3444</v>
      </c>
      <c r="F169" s="3" t="n">
        <v>3417238.4</v>
      </c>
      <c r="G169" s="3" t="n">
        <v>5378859.6</v>
      </c>
      <c r="H169" s="4" t="n">
        <f aca="false">F169+G169</f>
        <v>8796098</v>
      </c>
      <c r="I169" s="5" t="n">
        <f aca="false">H169/D169</f>
        <v>12.1829612188366</v>
      </c>
      <c r="J169" s="6" t="n">
        <f aca="false">H169/VLOOKUP(C169,Referencia_Mundial!$A:$B,2,FALSE())*100</f>
        <v>3.85957288112944</v>
      </c>
      <c r="K169" s="2" t="s">
        <v>42</v>
      </c>
      <c r="L169" s="2" t="s">
        <v>43</v>
      </c>
      <c r="M169" s="7" t="str">
        <f aca="false">IF(F169&gt;=G169,"Captura silvestre","Acuicultura")</f>
        <v>Acuicultura</v>
      </c>
      <c r="N169" s="6" t="n">
        <f aca="false">(H169-H168)/H168*100</f>
        <v>2.63475030641313</v>
      </c>
      <c r="O169" s="8" t="s">
        <v>19</v>
      </c>
    </row>
  </sheetData>
  <autoFilter ref="A1:O1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9" t="s">
        <v>44</v>
      </c>
      <c r="B1" s="9" t="s">
        <v>45</v>
      </c>
      <c r="C1" s="9" t="s">
        <v>46</v>
      </c>
      <c r="D1" s="9" t="s">
        <v>47</v>
      </c>
    </row>
    <row r="2" customFormat="false" ht="15" hidden="false" customHeight="false" outlineLevel="0" collapsed="false">
      <c r="A2" s="10" t="s">
        <v>0</v>
      </c>
      <c r="B2" s="11" t="s">
        <v>48</v>
      </c>
      <c r="C2" s="11" t="s">
        <v>49</v>
      </c>
      <c r="D2" s="11" t="s">
        <v>50</v>
      </c>
    </row>
    <row r="3" customFormat="false" ht="15" hidden="false" customHeight="false" outlineLevel="0" collapsed="false">
      <c r="A3" s="10" t="s">
        <v>1</v>
      </c>
      <c r="B3" s="11" t="s">
        <v>48</v>
      </c>
      <c r="C3" s="11" t="s">
        <v>49</v>
      </c>
      <c r="D3" s="11" t="s">
        <v>51</v>
      </c>
    </row>
    <row r="4" customFormat="false" ht="15" hidden="false" customHeight="false" outlineLevel="0" collapsed="false">
      <c r="A4" s="10" t="s">
        <v>2</v>
      </c>
      <c r="B4" s="11" t="s">
        <v>52</v>
      </c>
      <c r="C4" s="11" t="s">
        <v>53</v>
      </c>
      <c r="D4" s="11" t="s">
        <v>54</v>
      </c>
    </row>
    <row r="5" customFormat="false" ht="15" hidden="false" customHeight="false" outlineLevel="0" collapsed="false">
      <c r="A5" s="10" t="s">
        <v>3</v>
      </c>
      <c r="B5" s="11" t="s">
        <v>55</v>
      </c>
      <c r="C5" s="11" t="s">
        <v>56</v>
      </c>
      <c r="D5" s="11" t="s">
        <v>57</v>
      </c>
    </row>
    <row r="6" customFormat="false" ht="15" hidden="false" customHeight="false" outlineLevel="0" collapsed="false">
      <c r="A6" s="10" t="s">
        <v>4</v>
      </c>
      <c r="B6" s="11" t="s">
        <v>55</v>
      </c>
      <c r="C6" s="11" t="s">
        <v>58</v>
      </c>
      <c r="D6" s="11" t="s">
        <v>59</v>
      </c>
    </row>
    <row r="7" customFormat="false" ht="15" hidden="false" customHeight="false" outlineLevel="0" collapsed="false">
      <c r="A7" s="10" t="s">
        <v>5</v>
      </c>
      <c r="B7" s="11" t="s">
        <v>55</v>
      </c>
      <c r="C7" s="11" t="s">
        <v>60</v>
      </c>
      <c r="D7" s="11" t="s">
        <v>61</v>
      </c>
    </row>
    <row r="8" customFormat="false" ht="41.75" hidden="false" customHeight="false" outlineLevel="0" collapsed="false">
      <c r="A8" s="10" t="s">
        <v>6</v>
      </c>
      <c r="B8" s="11" t="s">
        <v>55</v>
      </c>
      <c r="C8" s="11" t="s">
        <v>62</v>
      </c>
      <c r="D8" s="11" t="s">
        <v>63</v>
      </c>
    </row>
    <row r="9" customFormat="false" ht="15" hidden="false" customHeight="false" outlineLevel="0" collapsed="false">
      <c r="A9" s="10" t="s">
        <v>7</v>
      </c>
      <c r="B9" s="11" t="s">
        <v>64</v>
      </c>
      <c r="C9" s="11" t="s">
        <v>65</v>
      </c>
      <c r="D9" s="11" t="s">
        <v>66</v>
      </c>
    </row>
    <row r="10" customFormat="false" ht="15" hidden="false" customHeight="false" outlineLevel="0" collapsed="false">
      <c r="A10" s="10" t="s">
        <v>8</v>
      </c>
      <c r="B10" s="11" t="s">
        <v>64</v>
      </c>
      <c r="C10" s="11" t="s">
        <v>67</v>
      </c>
      <c r="D10" s="11" t="s">
        <v>68</v>
      </c>
    </row>
    <row r="11" customFormat="false" ht="28.35" hidden="false" customHeight="false" outlineLevel="0" collapsed="false">
      <c r="A11" s="10" t="s">
        <v>9</v>
      </c>
      <c r="B11" s="11" t="s">
        <v>64</v>
      </c>
      <c r="C11" s="11" t="s">
        <v>69</v>
      </c>
      <c r="D11" s="11" t="s">
        <v>70</v>
      </c>
    </row>
    <row r="12" customFormat="false" ht="28.35" hidden="false" customHeight="false" outlineLevel="0" collapsed="false">
      <c r="A12" s="10" t="s">
        <v>10</v>
      </c>
      <c r="B12" s="11" t="s">
        <v>48</v>
      </c>
      <c r="C12" s="11" t="s">
        <v>71</v>
      </c>
      <c r="D12" s="11" t="s">
        <v>72</v>
      </c>
    </row>
    <row r="13" customFormat="false" ht="28.35" hidden="false" customHeight="false" outlineLevel="0" collapsed="false">
      <c r="A13" s="10" t="s">
        <v>11</v>
      </c>
      <c r="B13" s="11" t="s">
        <v>48</v>
      </c>
      <c r="C13" s="11" t="s">
        <v>73</v>
      </c>
      <c r="D13" s="11" t="s">
        <v>74</v>
      </c>
    </row>
    <row r="14" customFormat="false" ht="15" hidden="false" customHeight="false" outlineLevel="0" collapsed="false">
      <c r="A14" s="10" t="s">
        <v>12</v>
      </c>
      <c r="B14" s="11" t="s">
        <v>75</v>
      </c>
      <c r="C14" s="11" t="s">
        <v>76</v>
      </c>
      <c r="D14" s="11" t="s">
        <v>77</v>
      </c>
    </row>
    <row r="15" customFormat="false" ht="15" hidden="false" customHeight="false" outlineLevel="0" collapsed="false">
      <c r="A15" s="10" t="s">
        <v>13</v>
      </c>
      <c r="B15" s="11" t="s">
        <v>64</v>
      </c>
      <c r="C15" s="11" t="s">
        <v>78</v>
      </c>
      <c r="D15" s="11" t="s">
        <v>79</v>
      </c>
    </row>
    <row r="16" customFormat="false" ht="15" hidden="false" customHeight="false" outlineLevel="0" collapsed="false">
      <c r="A16" s="10" t="s">
        <v>14</v>
      </c>
      <c r="B16" s="11" t="s">
        <v>48</v>
      </c>
      <c r="C16" s="11" t="s">
        <v>80</v>
      </c>
      <c r="D16" s="11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9" t="s">
        <v>2</v>
      </c>
      <c r="B1" s="9" t="s">
        <v>82</v>
      </c>
      <c r="C1" s="9" t="s">
        <v>83</v>
      </c>
    </row>
    <row r="2" customFormat="false" ht="15" hidden="false" customHeight="false" outlineLevel="0" collapsed="false">
      <c r="A2" s="12" t="n">
        <v>2000</v>
      </c>
      <c r="B2" s="13" t="n">
        <v>137792039.281</v>
      </c>
      <c r="C2" s="14" t="s">
        <v>84</v>
      </c>
    </row>
    <row r="3" customFormat="false" ht="15" hidden="false" customHeight="false" outlineLevel="0" collapsed="false">
      <c r="A3" s="12" t="n">
        <v>2001</v>
      </c>
      <c r="B3" s="13" t="n">
        <v>137546176.036</v>
      </c>
      <c r="C3" s="14" t="s">
        <v>84</v>
      </c>
    </row>
    <row r="4" customFormat="false" ht="15" hidden="false" customHeight="false" outlineLevel="0" collapsed="false">
      <c r="A4" s="12" t="n">
        <v>2002</v>
      </c>
      <c r="B4" s="13" t="n">
        <v>141018584.107</v>
      </c>
      <c r="C4" s="14" t="s">
        <v>84</v>
      </c>
    </row>
    <row r="5" customFormat="false" ht="15" hidden="false" customHeight="false" outlineLevel="0" collapsed="false">
      <c r="A5" s="12" t="n">
        <v>2003</v>
      </c>
      <c r="B5" s="13" t="n">
        <v>141139088.444</v>
      </c>
      <c r="C5" s="14" t="s">
        <v>84</v>
      </c>
    </row>
    <row r="6" customFormat="false" ht="15" hidden="false" customHeight="false" outlineLevel="0" collapsed="false">
      <c r="A6" s="12" t="n">
        <v>2004</v>
      </c>
      <c r="B6" s="13" t="n">
        <v>150041835.588</v>
      </c>
      <c r="C6" s="14" t="s">
        <v>84</v>
      </c>
    </row>
    <row r="7" customFormat="false" ht="15" hidden="false" customHeight="false" outlineLevel="0" collapsed="false">
      <c r="A7" s="12" t="n">
        <v>2005</v>
      </c>
      <c r="B7" s="13" t="n">
        <v>152928673.837</v>
      </c>
      <c r="C7" s="14" t="s">
        <v>84</v>
      </c>
    </row>
    <row r="8" customFormat="false" ht="15" hidden="false" customHeight="false" outlineLevel="0" collapsed="false">
      <c r="A8" s="12" t="n">
        <v>2006</v>
      </c>
      <c r="B8" s="13" t="n">
        <v>154269331.95</v>
      </c>
      <c r="C8" s="14" t="s">
        <v>84</v>
      </c>
    </row>
    <row r="9" customFormat="false" ht="15" hidden="false" customHeight="false" outlineLevel="0" collapsed="false">
      <c r="A9" s="12" t="n">
        <v>2007</v>
      </c>
      <c r="B9" s="13" t="n">
        <v>157994420.906</v>
      </c>
      <c r="C9" s="14" t="s">
        <v>84</v>
      </c>
    </row>
    <row r="10" customFormat="false" ht="15" hidden="false" customHeight="false" outlineLevel="0" collapsed="false">
      <c r="A10" s="12" t="n">
        <v>2008</v>
      </c>
      <c r="B10" s="13" t="n">
        <v>161002622.395</v>
      </c>
      <c r="C10" s="14" t="s">
        <v>84</v>
      </c>
    </row>
    <row r="11" customFormat="false" ht="15" hidden="false" customHeight="false" outlineLevel="0" collapsed="false">
      <c r="A11" s="12" t="n">
        <v>2009</v>
      </c>
      <c r="B11" s="13" t="n">
        <v>164030893.003</v>
      </c>
      <c r="C11" s="14" t="s">
        <v>84</v>
      </c>
    </row>
    <row r="12" customFormat="false" ht="15" hidden="false" customHeight="false" outlineLevel="0" collapsed="false">
      <c r="A12" s="12" t="n">
        <v>2010</v>
      </c>
      <c r="B12" s="13" t="n">
        <v>166303754.04</v>
      </c>
      <c r="C12" s="14" t="s">
        <v>84</v>
      </c>
    </row>
    <row r="13" customFormat="false" ht="15" hidden="false" customHeight="false" outlineLevel="0" collapsed="false">
      <c r="A13" s="12" t="n">
        <v>2011</v>
      </c>
      <c r="B13" s="13" t="n">
        <v>174372309.292</v>
      </c>
      <c r="C13" s="14" t="s">
        <v>84</v>
      </c>
    </row>
    <row r="14" customFormat="false" ht="15" hidden="false" customHeight="false" outlineLevel="0" collapsed="false">
      <c r="A14" s="12" t="n">
        <v>2012</v>
      </c>
      <c r="B14" s="13" t="n">
        <v>178071142.753</v>
      </c>
      <c r="C14" s="14" t="s">
        <v>84</v>
      </c>
    </row>
    <row r="15" customFormat="false" ht="15" hidden="false" customHeight="false" outlineLevel="0" collapsed="false">
      <c r="A15" s="12" t="n">
        <v>2013</v>
      </c>
      <c r="B15" s="13" t="n">
        <v>186009820.035</v>
      </c>
      <c r="C15" s="14" t="s">
        <v>84</v>
      </c>
    </row>
    <row r="16" customFormat="false" ht="15" hidden="false" customHeight="false" outlineLevel="0" collapsed="false">
      <c r="A16" s="12" t="n">
        <v>2014</v>
      </c>
      <c r="B16" s="13" t="n">
        <v>191158453.701</v>
      </c>
      <c r="C16" s="14" t="s">
        <v>84</v>
      </c>
    </row>
    <row r="17" customFormat="false" ht="15" hidden="false" customHeight="false" outlineLevel="0" collapsed="false">
      <c r="A17" s="12" t="n">
        <v>2015</v>
      </c>
      <c r="B17" s="13" t="n">
        <v>196767887.828</v>
      </c>
      <c r="C17" s="14" t="s">
        <v>84</v>
      </c>
    </row>
    <row r="18" customFormat="false" ht="15" hidden="false" customHeight="false" outlineLevel="0" collapsed="false">
      <c r="A18" s="12" t="n">
        <v>2016</v>
      </c>
      <c r="B18" s="13" t="n">
        <v>198967924.485</v>
      </c>
      <c r="C18" s="14" t="s">
        <v>84</v>
      </c>
    </row>
    <row r="19" customFormat="false" ht="15" hidden="false" customHeight="false" outlineLevel="0" collapsed="false">
      <c r="A19" s="12" t="n">
        <v>2017</v>
      </c>
      <c r="B19" s="13" t="n">
        <v>206675299.795</v>
      </c>
      <c r="C19" s="14" t="s">
        <v>84</v>
      </c>
    </row>
    <row r="20" customFormat="false" ht="15" hidden="false" customHeight="false" outlineLevel="0" collapsed="false">
      <c r="A20" s="12" t="n">
        <v>2018</v>
      </c>
      <c r="B20" s="13" t="n">
        <v>213348586.957</v>
      </c>
      <c r="C20" s="14" t="s">
        <v>84</v>
      </c>
    </row>
    <row r="21" customFormat="false" ht="15" hidden="false" customHeight="false" outlineLevel="0" collapsed="false">
      <c r="A21" s="12" t="n">
        <v>2019</v>
      </c>
      <c r="B21" s="13" t="n">
        <v>213176720.236</v>
      </c>
      <c r="C21" s="14" t="s">
        <v>84</v>
      </c>
    </row>
    <row r="22" customFormat="false" ht="15" hidden="false" customHeight="false" outlineLevel="0" collapsed="false">
      <c r="A22" s="12" t="n">
        <v>2020</v>
      </c>
      <c r="B22" s="13" t="n">
        <v>213494925.455</v>
      </c>
      <c r="C22" s="14" t="s">
        <v>84</v>
      </c>
    </row>
    <row r="23" customFormat="false" ht="15" hidden="false" customHeight="false" outlineLevel="0" collapsed="false">
      <c r="A23" s="12" t="n">
        <v>2021</v>
      </c>
      <c r="B23" s="13" t="n">
        <v>218986543.715</v>
      </c>
      <c r="C23" s="14" t="s">
        <v>84</v>
      </c>
    </row>
    <row r="24" customFormat="false" ht="15" hidden="false" customHeight="false" outlineLevel="0" collapsed="false">
      <c r="A24" s="12" t="n">
        <v>2022</v>
      </c>
      <c r="B24" s="13" t="n">
        <v>223092412.907</v>
      </c>
      <c r="C24" s="14" t="s">
        <v>84</v>
      </c>
    </row>
    <row r="25" customFormat="false" ht="15" hidden="false" customHeight="false" outlineLevel="0" collapsed="false">
      <c r="A25" s="12" t="n">
        <v>2023</v>
      </c>
      <c r="B25" s="13" t="n">
        <v>227903404.623</v>
      </c>
      <c r="C25" s="14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0"/>
  </cols>
  <sheetData>
    <row r="1" customFormat="false" ht="16.15" hidden="false" customHeight="false" outlineLevel="0" collapsed="false">
      <c r="A1" s="15" t="s">
        <v>85</v>
      </c>
    </row>
    <row r="3" customFormat="false" ht="15" hidden="false" customHeight="false" outlineLevel="0" collapsed="false">
      <c r="A3" s="16" t="s">
        <v>86</v>
      </c>
      <c r="B3" s="17" t="s">
        <v>87</v>
      </c>
    </row>
    <row r="4" customFormat="false" ht="15" hidden="false" customHeight="false" outlineLevel="0" collapsed="false">
      <c r="A4" s="16" t="s">
        <v>88</v>
      </c>
      <c r="B4" s="17" t="s">
        <v>89</v>
      </c>
    </row>
    <row r="5" customFormat="false" ht="15" hidden="false" customHeight="false" outlineLevel="0" collapsed="false">
      <c r="A5" s="16" t="s">
        <v>90</v>
      </c>
      <c r="B5" s="17" t="s">
        <v>91</v>
      </c>
    </row>
    <row r="6" customFormat="false" ht="15" hidden="false" customHeight="false" outlineLevel="0" collapsed="false">
      <c r="A6" s="16" t="s">
        <v>92</v>
      </c>
      <c r="B6" s="17" t="s">
        <v>93</v>
      </c>
    </row>
    <row r="7" customFormat="false" ht="28.35" hidden="false" customHeight="false" outlineLevel="0" collapsed="false">
      <c r="A7" s="16" t="s">
        <v>94</v>
      </c>
      <c r="B7" s="17" t="s">
        <v>95</v>
      </c>
    </row>
    <row r="8" customFormat="false" ht="15" hidden="false" customHeight="false" outlineLevel="0" collapsed="false">
      <c r="A8" s="16" t="s">
        <v>96</v>
      </c>
      <c r="B8" s="17" t="s">
        <v>97</v>
      </c>
    </row>
    <row r="9" customFormat="false" ht="15" hidden="false" customHeight="false" outlineLevel="0" collapsed="false">
      <c r="A9" s="16" t="s">
        <v>98</v>
      </c>
      <c r="B9" s="17" t="s">
        <v>99</v>
      </c>
    </row>
    <row r="10" customFormat="false" ht="15" hidden="false" customHeight="false" outlineLevel="0" collapsed="false">
      <c r="A10" s="16"/>
      <c r="B10" s="17"/>
    </row>
    <row r="11" customFormat="false" ht="41.75" hidden="false" customHeight="false" outlineLevel="0" collapsed="false">
      <c r="A11" s="16" t="s">
        <v>100</v>
      </c>
      <c r="B11" s="17"/>
    </row>
    <row r="12" customFormat="false" ht="41.75" hidden="false" customHeight="false" outlineLevel="0" collapsed="false">
      <c r="A12" s="16" t="s">
        <v>101</v>
      </c>
      <c r="B12" s="17" t="s">
        <v>102</v>
      </c>
    </row>
    <row r="13" customFormat="false" ht="41.75" hidden="false" customHeight="false" outlineLevel="0" collapsed="false">
      <c r="A13" s="16" t="s">
        <v>103</v>
      </c>
      <c r="B13" s="17" t="s">
        <v>104</v>
      </c>
    </row>
    <row r="14" customFormat="false" ht="15" hidden="false" customHeight="false" outlineLevel="0" collapsed="false">
      <c r="A14" s="16"/>
      <c r="B14" s="17"/>
    </row>
    <row r="15" customFormat="false" ht="28.35" hidden="false" customHeight="false" outlineLevel="0" collapsed="false">
      <c r="A15" s="16" t="s">
        <v>105</v>
      </c>
      <c r="B15" s="17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2026-06-18T23:36:27Z</dcterms:created>
  <dc:creator>openpyxl</dc:creator>
  <dc:description/>
  <dc:language>en-US</dc:language>
  <cp:lastModifiedBy/>
  <dcterms:modified xsi:type="dcterms:W3CDTF">2026-06-18T23:36:27Z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